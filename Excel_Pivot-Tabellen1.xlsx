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5"/>
    <sheet name="Rohdaten" sheetId="2" r:id="rId6"/>
    <sheet name="Rohdaten-1" sheetId="3" r:id="rId7"/>
    <sheet name="Aggregation (Summe_Anzahl_Durch" sheetId="4" r:id="rId8"/>
    <sheet name="Gruppierung - Summe - Summe" sheetId="5" r:id="rId9"/>
    <sheet name="Gruppierung - Summe - Tabelle 1" sheetId="6" r:id="rId10"/>
    <sheet name="Gruppierung - Summe - Zeichnung" sheetId="7" r:id="rId11"/>
    <sheet name="Gruppierung2 - Tabelle 1 Pivot " sheetId="8" r:id="rId12"/>
    <sheet name="Gruppierung2 - Tabelle 1 Pivot1" sheetId="9" r:id="rId13"/>
    <sheet name="Gruppierung2 - Tabelle 1 Pivot2" sheetId="10" r:id="rId14"/>
    <sheet name="Berechnetes Feld - Tabelle 1 Pi" sheetId="11" r:id="rId15"/>
    <sheet name="Berechnetes Feld - Tabelle 1 P1" sheetId="12" r:id="rId16"/>
    <sheet name="Berechnetes Feld - Tabelle 1" sheetId="13" r:id="rId17"/>
    <sheet name="Berechnetes Feld - Zeichnungen" sheetId="14" r:id="rId18"/>
    <sheet name="Wertfeldeinstellungen - Tabelle" sheetId="15" r:id="rId19"/>
    <sheet name="Wertfeldeinstellungen - Tabell1" sheetId="16" r:id="rId20"/>
    <sheet name="Wertfeldeinstellungen - Tabell2" sheetId="17" r:id="rId21"/>
    <sheet name="Wertfeldeinstellungen-1 - Tabel" sheetId="18" r:id="rId22"/>
    <sheet name="Wertfeldeinstellungen-1 - Tabe1" sheetId="19" r:id="rId23"/>
    <sheet name="Wertfeldeinstellungen-1 - Tabe2" sheetId="20" r:id="rId24"/>
    <sheet name="Slicer und Zeitachse - Tabelle " sheetId="21" r:id="rId25"/>
    <sheet name="Slicer und Zeitachse - Tabelle1" sheetId="22" r:id="rId26"/>
    <sheet name="Slicer und Zeitachse - Tabelle2" sheetId="23" r:id="rId27"/>
  </sheets>
  <pivotCaches>
    <pivotCache cacheId="0" r:id="rId28"/>
    <pivotCache cacheId="1" r:id="rId29"/>
    <pivotCache cacheId="2" r:id="rId30"/>
    <pivotCache cacheId="3" r:id="rId31"/>
    <pivotCache cacheId="4" r:id="rId32"/>
    <pivotCache cacheId="5" r:id="rId33"/>
    <pivotCache cacheId="6" r:id="rId34"/>
  </pivotCache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<sst xmlns="http://schemas.openxmlformats.org/spreadsheetml/2006/main" uniqueCount="496">
  <si>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</si>
  <si>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</si>
  <si>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</si>
  <si>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</si>
  <si>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Rohdaten</t>
  </si>
  <si>
    <t>Tabelle 1</t>
  </si>
  <si>
    <t>VorgangsID</t>
  </si>
  <si>
    <t>Datum</t>
  </si>
  <si>
    <t>Abteilung</t>
  </si>
  <si>
    <t>Bearbeiter</t>
  </si>
  <si>
    <t>Vorgangstyp</t>
  </si>
  <si>
    <t>Bearbeitungsdauer_Min</t>
  </si>
  <si>
    <t>Kosten_EUR</t>
  </si>
  <si>
    <t>SLA_Status</t>
  </si>
  <si>
    <t xml:space="preserve"> </t>
  </si>
  <si>
    <t>V-1140</t>
  </si>
  <si>
    <t>Buchhaltung</t>
  </si>
  <si>
    <t>K. Lindner</t>
  </si>
  <si>
    <t>Mahnwesen</t>
  </si>
  <si>
    <t>Eingehalten</t>
  </si>
  <si>
    <t>V-1089</t>
  </si>
  <si>
    <t>IT-Support</t>
  </si>
  <si>
    <t>R. Engel</t>
  </si>
  <si>
    <t>Zugriffsfreigabe</t>
  </si>
  <si>
    <t>Verletzt</t>
  </si>
  <si>
    <t>V-1389</t>
  </si>
  <si>
    <t>Vertrieb</t>
  </si>
  <si>
    <t>J. Schreiber</t>
  </si>
  <si>
    <t>Angebotserstellung</t>
  </si>
  <si>
    <t>V-1391</t>
  </si>
  <si>
    <t>Service</t>
  </si>
  <si>
    <t>P. Richter</t>
  </si>
  <si>
    <t>Supportticket</t>
  </si>
  <si>
    <t>V-1056</t>
  </si>
  <si>
    <t>Einkauf</t>
  </si>
  <si>
    <t>M. Krause</t>
  </si>
  <si>
    <t>Rechnungspruefung</t>
  </si>
  <si>
    <t>V-1177</t>
  </si>
  <si>
    <t>T. Hoffmann</t>
  </si>
  <si>
    <t>Auftragserfassung</t>
  </si>
  <si>
    <t>V-1365</t>
  </si>
  <si>
    <t>V-1030</t>
  </si>
  <si>
    <t>A. Neumann</t>
  </si>
  <si>
    <t>Reklamation</t>
  </si>
  <si>
    <t>V-1262</t>
  </si>
  <si>
    <t>L. Becker</t>
  </si>
  <si>
    <t>V-1093</t>
  </si>
  <si>
    <t>S. Wolff</t>
  </si>
  <si>
    <t>Bestellanforderung</t>
  </si>
  <si>
    <t>V-1191</t>
  </si>
  <si>
    <t>V-1143</t>
  </si>
  <si>
    <t>D. Brandt</t>
  </si>
  <si>
    <t>Hardwarebestellung</t>
  </si>
  <si>
    <t>V-1181</t>
  </si>
  <si>
    <t>V-1337</t>
  </si>
  <si>
    <t>V-1058</t>
  </si>
  <si>
    <t>V-1133</t>
  </si>
  <si>
    <t>V-1077</t>
  </si>
  <si>
    <t>V-1313</t>
  </si>
  <si>
    <t>Lieferantenfreigabe</t>
  </si>
  <si>
    <t>V-1383</t>
  </si>
  <si>
    <t>V-1366</t>
  </si>
  <si>
    <t>V-1038</t>
  </si>
  <si>
    <t>C. Voss</t>
  </si>
  <si>
    <t>V-1332</t>
  </si>
  <si>
    <t>Zahlungsfreigabe</t>
  </si>
  <si>
    <t>V-1096</t>
  </si>
  <si>
    <t>V-1121</t>
  </si>
  <si>
    <t>V-1204</t>
  </si>
  <si>
    <t>V-1309</t>
  </si>
  <si>
    <t>Ruecksendung</t>
  </si>
  <si>
    <t>V-1035</t>
  </si>
  <si>
    <t>V-1119</t>
  </si>
  <si>
    <t>V-1013</t>
  </si>
  <si>
    <t>V-1160</t>
  </si>
  <si>
    <t>V-1291</t>
  </si>
  <si>
    <t>V-1357</t>
  </si>
  <si>
    <t>V-1388</t>
  </si>
  <si>
    <t>V-1195</t>
  </si>
  <si>
    <t>V-1236</t>
  </si>
  <si>
    <t>V-1031</t>
  </si>
  <si>
    <t>V-1048</t>
  </si>
  <si>
    <t>V-1196</t>
  </si>
  <si>
    <t>V-1283</t>
  </si>
  <si>
    <t>V-1356</t>
  </si>
  <si>
    <t>V-1377</t>
  </si>
  <si>
    <t>V-1219</t>
  </si>
  <si>
    <t>V-1026</t>
  </si>
  <si>
    <t>V-1075</t>
  </si>
  <si>
    <t>V-1111</t>
  </si>
  <si>
    <t>V-1239</t>
  </si>
  <si>
    <t>V-1139</t>
  </si>
  <si>
    <t>V-1336</t>
  </si>
  <si>
    <t>V-1054</t>
  </si>
  <si>
    <t>V-1144</t>
  </si>
  <si>
    <t>V-1396</t>
  </si>
  <si>
    <t>V-1200</t>
  </si>
  <si>
    <t>V-1034</t>
  </si>
  <si>
    <t>V-1393</t>
  </si>
  <si>
    <t>V-1243</t>
  </si>
  <si>
    <t>V-1333</t>
  </si>
  <si>
    <t>V-1059</t>
  </si>
  <si>
    <t>V-1250</t>
  </si>
  <si>
    <t>V-1258</t>
  </si>
  <si>
    <t>V-1341</t>
  </si>
  <si>
    <t>V-1364</t>
  </si>
  <si>
    <t>V-1175</t>
  </si>
  <si>
    <t>V-1379</t>
  </si>
  <si>
    <t>V-1081</t>
  </si>
  <si>
    <t>V-1302</t>
  </si>
  <si>
    <t>V-1007</t>
  </si>
  <si>
    <t>V-1098</t>
  </si>
  <si>
    <t>V-1192</t>
  </si>
  <si>
    <t>V-1197</t>
  </si>
  <si>
    <t>V-1027</t>
  </si>
  <si>
    <t>V-1311</t>
  </si>
  <si>
    <t>V-1055</t>
  </si>
  <si>
    <t>V-1190</t>
  </si>
  <si>
    <t>V-1033</t>
  </si>
  <si>
    <t>V-1142</t>
  </si>
  <si>
    <t>V-1354</t>
  </si>
  <si>
    <t>V-1360</t>
  </si>
  <si>
    <t>V-1286</t>
  </si>
  <si>
    <t>V-1314</t>
  </si>
  <si>
    <t>V-1344</t>
  </si>
  <si>
    <t>V-1154</t>
  </si>
  <si>
    <t>V-1312</t>
  </si>
  <si>
    <t>V-1225</t>
  </si>
  <si>
    <t>V-1079</t>
  </si>
  <si>
    <t>V-1018</t>
  </si>
  <si>
    <t>V-1201</t>
  </si>
  <si>
    <t>V-1052</t>
  </si>
  <si>
    <t>V-1183</t>
  </si>
  <si>
    <t>V-1083</t>
  </si>
  <si>
    <t>V-1251</t>
  </si>
  <si>
    <t>V-1010</t>
  </si>
  <si>
    <t>V-1100</t>
  </si>
  <si>
    <t>V-1245</t>
  </si>
  <si>
    <t>V-1217</t>
  </si>
  <si>
    <t>V-1208</t>
  </si>
  <si>
    <t>V-1209</t>
  </si>
  <si>
    <t>V-1037</t>
  </si>
  <si>
    <t>V-1267</t>
  </si>
  <si>
    <t>V-1053</t>
  </si>
  <si>
    <t>V-1353</t>
  </si>
  <si>
    <t>V-1126</t>
  </si>
  <si>
    <t>V-1187</t>
  </si>
  <si>
    <t>V-1213</t>
  </si>
  <si>
    <t>V-1256</t>
  </si>
  <si>
    <t>V-1003</t>
  </si>
  <si>
    <t>V-1350</t>
  </si>
  <si>
    <t>V-1017</t>
  </si>
  <si>
    <t>V-1223</t>
  </si>
  <si>
    <t>V-1373</t>
  </si>
  <si>
    <t>V-1063</t>
  </si>
  <si>
    <t>V-1158</t>
  </si>
  <si>
    <t>V-1363</t>
  </si>
  <si>
    <t>V-1385</t>
  </si>
  <si>
    <t>V-1399</t>
  </si>
  <si>
    <t>V-1129</t>
  </si>
  <si>
    <t>V-1189</t>
  </si>
  <si>
    <t>V-1076</t>
  </si>
  <si>
    <t>V-1345</t>
  </si>
  <si>
    <t>V-1039</t>
  </si>
  <si>
    <t>V-1060</t>
  </si>
  <si>
    <t>V-1257</t>
  </si>
  <si>
    <t>V-1369</t>
  </si>
  <si>
    <t>V-1127</t>
  </si>
  <si>
    <t>V-1151</t>
  </si>
  <si>
    <t>V-1247</t>
  </si>
  <si>
    <t>V-1380</t>
  </si>
  <si>
    <t>V-1260</t>
  </si>
  <si>
    <t>V-1306</t>
  </si>
  <si>
    <t>V-1036</t>
  </si>
  <si>
    <t>V-1237</t>
  </si>
  <si>
    <t>V-1016</t>
  </si>
  <si>
    <t>V-1066</t>
  </si>
  <si>
    <t>V-1155</t>
  </si>
  <si>
    <t>V-1308</t>
  </si>
  <si>
    <t>V-1130</t>
  </si>
  <si>
    <t>V-1376</t>
  </si>
  <si>
    <t>V-1331</t>
  </si>
  <si>
    <t>V-1132</t>
  </si>
  <si>
    <t>V-1275</t>
  </si>
  <si>
    <t>V-1328</t>
  </si>
  <si>
    <t>V-1186</t>
  </si>
  <si>
    <t>V-1064</t>
  </si>
  <si>
    <t>V-1280</t>
  </si>
  <si>
    <t>V-1340</t>
  </si>
  <si>
    <t>V-1085</t>
  </si>
  <si>
    <t>V-1392</t>
  </si>
  <si>
    <t>V-1138</t>
  </si>
  <si>
    <t>V-1009</t>
  </si>
  <si>
    <t>V-1216</t>
  </si>
  <si>
    <t>V-1303</t>
  </si>
  <si>
    <t>V-1339</t>
  </si>
  <si>
    <t>V-1128</t>
  </si>
  <si>
    <t>V-1021</t>
  </si>
  <si>
    <t>V-1326</t>
  </si>
  <si>
    <t>V-1362</t>
  </si>
  <si>
    <t>V-1051</t>
  </si>
  <si>
    <t>V-1285</t>
  </si>
  <si>
    <t>V-1372</t>
  </si>
  <si>
    <t>V-1118</t>
  </si>
  <si>
    <t>V-1298</t>
  </si>
  <si>
    <t>V-1073</t>
  </si>
  <si>
    <t>V-1123</t>
  </si>
  <si>
    <t>V-1115</t>
  </si>
  <si>
    <t>V-1131</t>
  </si>
  <si>
    <t>V-1070</t>
  </si>
  <si>
    <t>V-1171</t>
  </si>
  <si>
    <t>V-1238</t>
  </si>
  <si>
    <t>V-1101</t>
  </si>
  <si>
    <t>V-1047</t>
  </si>
  <si>
    <t>V-1067</t>
  </si>
  <si>
    <t>V-1300</t>
  </si>
  <si>
    <t>V-1324</t>
  </si>
  <si>
    <t>V-1289</t>
  </si>
  <si>
    <t>V-1109</t>
  </si>
  <si>
    <t>V-1094</t>
  </si>
  <si>
    <t>V-1172</t>
  </si>
  <si>
    <t>V-1273</t>
  </si>
  <si>
    <t>V-1087</t>
  </si>
  <si>
    <t>V-1061</t>
  </si>
  <si>
    <t>V-1378</t>
  </si>
  <si>
    <t>V-1342</t>
  </si>
  <si>
    <t>V-1005</t>
  </si>
  <si>
    <t>V-1233</t>
  </si>
  <si>
    <t>V-1006</t>
  </si>
  <si>
    <t>V-1301</t>
  </si>
  <si>
    <t>V-1292</t>
  </si>
  <si>
    <t>V-1224</t>
  </si>
  <si>
    <t>V-1274</t>
  </si>
  <si>
    <t>V-1169</t>
  </si>
  <si>
    <t>V-1387</t>
  </si>
  <si>
    <t>V-1325</t>
  </si>
  <si>
    <t>V-1269</t>
  </si>
  <si>
    <t>V-1008</t>
  </si>
  <si>
    <t>V-1025</t>
  </si>
  <si>
    <t>V-1105</t>
  </si>
  <si>
    <t>V-1185</t>
  </si>
  <si>
    <t>V-1206</t>
  </si>
  <si>
    <t>V-1057</t>
  </si>
  <si>
    <t>V-1211</t>
  </si>
  <si>
    <t>V-1202</t>
  </si>
  <si>
    <t>V-1253</t>
  </si>
  <si>
    <t>V-1263</t>
  </si>
  <si>
    <t>V-1244</t>
  </si>
  <si>
    <t>V-1040</t>
  </si>
  <si>
    <t>V-1095</t>
  </si>
  <si>
    <t>V-1320</t>
  </si>
  <si>
    <t>V-1019</t>
  </si>
  <si>
    <t>V-1152</t>
  </si>
  <si>
    <t>V-1166</t>
  </si>
  <si>
    <t>V-1178</t>
  </si>
  <si>
    <t>V-1359</t>
  </si>
  <si>
    <t>V-1086</t>
  </si>
  <si>
    <t>V-1147</t>
  </si>
  <si>
    <t>V-1231</t>
  </si>
  <si>
    <t>V-1278</t>
  </si>
  <si>
    <t>V-1235</t>
  </si>
  <si>
    <t>V-1091</t>
  </si>
  <si>
    <t>V-1015</t>
  </si>
  <si>
    <t>V-1329</t>
  </si>
  <si>
    <t>V-1218</t>
  </si>
  <si>
    <t>V-1338</t>
  </si>
  <si>
    <t>V-1394</t>
  </si>
  <si>
    <t>V-1270</t>
  </si>
  <si>
    <t>V-1222</t>
  </si>
  <si>
    <t>V-1113</t>
  </si>
  <si>
    <t>V-1220</t>
  </si>
  <si>
    <t>V-1347</t>
  </si>
  <si>
    <t>V-1137</t>
  </si>
  <si>
    <t>V-1322</t>
  </si>
  <si>
    <t>V-1374</t>
  </si>
  <si>
    <t>V-1114</t>
  </si>
  <si>
    <t>V-1207</t>
  </si>
  <si>
    <t>V-1272</t>
  </si>
  <si>
    <t>V-1234</t>
  </si>
  <si>
    <t>V-1082</t>
  </si>
  <si>
    <t>V-1164</t>
  </si>
  <si>
    <t>V-1330</t>
  </si>
  <si>
    <t>V-1193</t>
  </si>
  <si>
    <t>V-1252</t>
  </si>
  <si>
    <t>V-1279</t>
  </si>
  <si>
    <t>V-1163</t>
  </si>
  <si>
    <t>V-1248</t>
  </si>
  <si>
    <t>V-1355</t>
  </si>
  <si>
    <t>V-1099</t>
  </si>
  <si>
    <t>V-1382</t>
  </si>
  <si>
    <t>V-1255</t>
  </si>
  <si>
    <t>V-1335</t>
  </si>
  <si>
    <t>V-1043</t>
  </si>
  <si>
    <t>V-1266</t>
  </si>
  <si>
    <t>V-1288</t>
  </si>
  <si>
    <t>V-1174</t>
  </si>
  <si>
    <t>V-1146</t>
  </si>
  <si>
    <t>V-1242</t>
  </si>
  <si>
    <t>V-1157</t>
  </si>
  <si>
    <t>V-1214</t>
  </si>
  <si>
    <t>V-1386</t>
  </si>
  <si>
    <t>V-1153</t>
  </si>
  <si>
    <t>V-1307</t>
  </si>
  <si>
    <t>V-1271</t>
  </si>
  <si>
    <t>V-1281</t>
  </si>
  <si>
    <t>V-1022</t>
  </si>
  <si>
    <t>V-1049</t>
  </si>
  <si>
    <t>V-1148</t>
  </si>
  <si>
    <t>V-1205</t>
  </si>
  <si>
    <t>V-1229</t>
  </si>
  <si>
    <t>V-1241</t>
  </si>
  <si>
    <t>V-1032</t>
  </si>
  <si>
    <t>V-1305</t>
  </si>
  <si>
    <t>V-1141</t>
  </si>
  <si>
    <t>V-1084</t>
  </si>
  <si>
    <t>V-1046</t>
  </si>
  <si>
    <t>V-1261</t>
  </si>
  <si>
    <t>V-1024</t>
  </si>
  <si>
    <t>V-1161</t>
  </si>
  <si>
    <t>V-1198</t>
  </si>
  <si>
    <t>V-1210</t>
  </si>
  <si>
    <t>V-1156</t>
  </si>
  <si>
    <t>V-1065</t>
  </si>
  <si>
    <t>V-1068</t>
  </si>
  <si>
    <t>V-1361</t>
  </si>
  <si>
    <t>V-1028</t>
  </si>
  <si>
    <t>V-1173</t>
  </si>
  <si>
    <t>V-1367</t>
  </si>
  <si>
    <t>V-1042</t>
  </si>
  <si>
    <t>V-1050</t>
  </si>
  <si>
    <t>V-1150</t>
  </si>
  <si>
    <t>V-1268</t>
  </si>
  <si>
    <t>V-1002</t>
  </si>
  <si>
    <t>V-1090</t>
  </si>
  <si>
    <t>V-1265</t>
  </si>
  <si>
    <t>V-1310</t>
  </si>
  <si>
    <t>V-1334</t>
  </si>
  <si>
    <t>V-1290</t>
  </si>
  <si>
    <t>V-1071</t>
  </si>
  <si>
    <t>V-1371</t>
  </si>
  <si>
    <t>V-1370</t>
  </si>
  <si>
    <t>V-1179</t>
  </si>
  <si>
    <t>V-1203</t>
  </si>
  <si>
    <t>V-1188</t>
  </si>
  <si>
    <t>V-1227</t>
  </si>
  <si>
    <t>V-1398</t>
  </si>
  <si>
    <t>V-1014</t>
  </si>
  <si>
    <t>V-1045</t>
  </si>
  <si>
    <t>V-1108</t>
  </si>
  <si>
    <t>V-1297</t>
  </si>
  <si>
    <t>V-1120</t>
  </si>
  <si>
    <t>V-1287</t>
  </si>
  <si>
    <t>V-1352</t>
  </si>
  <si>
    <t>V-1134</t>
  </si>
  <si>
    <t>V-1368</t>
  </si>
  <si>
    <t>V-1135</t>
  </si>
  <si>
    <t>V-1304</t>
  </si>
  <si>
    <t>V-1319</t>
  </si>
  <si>
    <t>V-1384</t>
  </si>
  <si>
    <t>V-1088</t>
  </si>
  <si>
    <t>V-1136</t>
  </si>
  <si>
    <t>V-1149</t>
  </si>
  <si>
    <t>V-1004</t>
  </si>
  <si>
    <t>V-1117</t>
  </si>
  <si>
    <t>V-1125</t>
  </si>
  <si>
    <t>V-1107</t>
  </si>
  <si>
    <t>V-1044</t>
  </si>
  <si>
    <t>V-1215</t>
  </si>
  <si>
    <t>V-1103</t>
  </si>
  <si>
    <t>V-1232</t>
  </si>
  <si>
    <t>V-1249</t>
  </si>
  <si>
    <t>V-1295</t>
  </si>
  <si>
    <t>V-1168</t>
  </si>
  <si>
    <t>V-1349</t>
  </si>
  <si>
    <t>V-1246</t>
  </si>
  <si>
    <t>V-1282</t>
  </si>
  <si>
    <t>V-1348</t>
  </si>
  <si>
    <t>V-1072</t>
  </si>
  <si>
    <t>V-1315</t>
  </si>
  <si>
    <t>V-1124</t>
  </si>
  <si>
    <t>V-1212</t>
  </si>
  <si>
    <t>V-1221</t>
  </si>
  <si>
    <t>V-1390</t>
  </si>
  <si>
    <t>V-1162</t>
  </si>
  <si>
    <t>V-1092</t>
  </si>
  <si>
    <t>V-1102</t>
  </si>
  <si>
    <t>V-1226</t>
  </si>
  <si>
    <t>V-1264</t>
  </si>
  <si>
    <t>V-1078</t>
  </si>
  <si>
    <t>V-1122</t>
  </si>
  <si>
    <t>V-1318</t>
  </si>
  <si>
    <t>V-1228</t>
  </si>
  <si>
    <t>V-1259</t>
  </si>
  <si>
    <t>V-1293</t>
  </si>
  <si>
    <t>V-1397</t>
  </si>
  <si>
    <t>V-1001</t>
  </si>
  <si>
    <t>V-1012</t>
  </si>
  <si>
    <t>V-1023</t>
  </si>
  <si>
    <t>V-1343</t>
  </si>
  <si>
    <t>V-1294</t>
  </si>
  <si>
    <t>V-1296</t>
  </si>
  <si>
    <t>V-1358</t>
  </si>
  <si>
    <t>V-1230</t>
  </si>
  <si>
    <t>V-1104</t>
  </si>
  <si>
    <t>V-1145</t>
  </si>
  <si>
    <t>V-1375</t>
  </si>
  <si>
    <t>V-1254</t>
  </si>
  <si>
    <t>V-1381</t>
  </si>
  <si>
    <t>V-1097</t>
  </si>
  <si>
    <t>V-1106</t>
  </si>
  <si>
    <t>V-1346</t>
  </si>
  <si>
    <t>V-1167</t>
  </si>
  <si>
    <t>V-1194</t>
  </si>
  <si>
    <t>V-1069</t>
  </si>
  <si>
    <t>V-1284</t>
  </si>
  <si>
    <t>V-1029</t>
  </si>
  <si>
    <t>V-1317</t>
  </si>
  <si>
    <t>V-1074</t>
  </si>
  <si>
    <t>V-1176</t>
  </si>
  <si>
    <t>V-1276</t>
  </si>
  <si>
    <t>V-1277</t>
  </si>
  <si>
    <t>V-1020</t>
  </si>
  <si>
    <t>V-1170</t>
  </si>
  <si>
    <t>V-1011</t>
  </si>
  <si>
    <t>V-1240</t>
  </si>
  <si>
    <t>V-1299</t>
  </si>
  <si>
    <t>V-1116</t>
  </si>
  <si>
    <t>V-1165</t>
  </si>
  <si>
    <t>V-1184</t>
  </si>
  <si>
    <t>V-1327</t>
  </si>
  <si>
    <t>V-1041</t>
  </si>
  <si>
    <t>V-1080</t>
  </si>
  <si>
    <t>V-1182</t>
  </si>
  <si>
    <t>V-1395</t>
  </si>
  <si>
    <t>V-1180</t>
  </si>
  <si>
    <t>V-1321</t>
  </si>
  <si>
    <t>V-1062</t>
  </si>
  <si>
    <t>V-1110</t>
  </si>
  <si>
    <t>V-1199</t>
  </si>
  <si>
    <t>V-1159</t>
  </si>
  <si>
    <t>V-1351</t>
  </si>
  <si>
    <t>V-1323</t>
  </si>
  <si>
    <t>V-1316</t>
  </si>
  <si>
    <t>V-1112</t>
  </si>
  <si>
    <t>Rohdaten-1</t>
  </si>
  <si>
    <t>KOSTEN PRO MINUTE</t>
  </si>
  <si>
    <t>Bearbeitungsdauer pro Interval1</t>
  </si>
  <si>
    <t>Interval2</t>
  </si>
  <si>
    <t>Ist Spalte F leer?</t>
  </si>
  <si>
    <t>20–40</t>
  </si>
  <si>
    <t>40–60</t>
  </si>
  <si>
    <t>0–20</t>
  </si>
  <si>
    <t>80–100</t>
  </si>
  <si>
    <t>60–80</t>
  </si>
  <si>
    <r>
      <rPr>
        <sz val="14"/>
        <color indexed="18"/>
        <rFont val="Arial"/>
      </rPr>
      <t xml:space="preserve">GANZZAHL(F2/20)+1
</t>
    </r>
    <r>
      <rPr>
        <sz val="14"/>
        <color indexed="18"/>
        <rFont val="Arial"/>
      </rPr>
      <t xml:space="preserve">GANZZAHL rundet das Ergebnis auf die nächstkleinere ganze Zahl ab. Anschließend wird 1 addiert, weil WAHL seine Auswahlmöglichkeiten ab Position 1 nummeriert.
</t>
    </r>
    <r>
      <rPr>
        <sz val="14"/>
        <color indexed="18"/>
        <rFont val="Arial"/>
      </rPr>
      <t>Für den Wert 47:</t>
    </r>
  </si>
  <si>
    <t>ANZZAHL(2,35)+1=3</t>
  </si>
  <si>
    <r>
      <rPr>
        <sz val="14"/>
        <color indexed="18"/>
        <rFont val="Arial"/>
      </rPr>
      <t xml:space="preserve">Das bedeutet: Es wird die </t>
    </r>
    <r>
      <rPr>
        <b val="1"/>
        <sz val="14"/>
        <color indexed="18"/>
        <rFont val="Arial"/>
      </rPr>
      <t>dritte Kategorie</t>
    </r>
    <r>
      <rPr>
        <sz val="14"/>
        <color indexed="18"/>
        <rFont val="Arial"/>
      </rPr>
      <t xml:space="preserve"> ausgewählt.
</t>
    </r>
    <r>
      <rPr>
        <b val="1"/>
        <sz val="14"/>
        <color indexed="18"/>
        <rFont val="Arial"/>
      </rPr>
      <t xml:space="preserve">Schritt 3: </t>
    </r>
    <r>
      <rPr>
        <sz val="14"/>
        <color indexed="18"/>
        <rFont val="Arial"/>
      </rPr>
      <t>MIN(6;...)</t>
    </r>
    <r>
      <rPr>
        <b val="1"/>
        <sz val="14"/>
        <color indexed="18"/>
        <rFont val="Arial"/>
      </rPr>
      <t xml:space="preserve">
</t>
    </r>
    <r>
      <rPr>
        <sz val="14"/>
        <color indexed="19"/>
        <rFont val="Arial"/>
      </rPr>
      <t xml:space="preserve">excel
</t>
    </r>
    <r>
      <rPr>
        <sz val="14"/>
        <color indexed="18"/>
        <rFont val="Arial"/>
      </rPr>
      <t xml:space="preserve">MIN(6;GANZZAHL(F2/20)+1)
</t>
    </r>
    <r>
      <rPr>
        <sz val="14"/>
        <color indexed="18"/>
        <rFont val="Arial"/>
      </rPr>
      <t xml:space="preserve">MIN begrenzt die berechnete Kategorienummer auf maximal 6, da es sechs Intervalle gibt.
</t>
    </r>
    <r>
      <rPr>
        <sz val="14"/>
        <color indexed="18"/>
        <rFont val="Arial"/>
      </rPr>
      <t xml:space="preserve">Beispiel: Für F2 = 150 ergibt sich zunächst die Kategorienummer 8. MIN reduziert sie auf 6. Dadurch wird kein Fehler durch eine zu hohe Kategorienummer verursacht.
</t>
    </r>
    <r>
      <rPr>
        <b val="1"/>
        <sz val="14"/>
        <color indexed="18"/>
        <rFont val="Arial"/>
      </rPr>
      <t xml:space="preserve">Schritt 4: </t>
    </r>
    <r>
      <rPr>
        <sz val="14"/>
        <color indexed="18"/>
        <rFont val="Arial"/>
      </rPr>
      <t>WAHL(...)</t>
    </r>
    <r>
      <rPr>
        <b val="1"/>
        <sz val="14"/>
        <color indexed="18"/>
        <rFont val="Arial"/>
      </rPr>
      <t xml:space="preserve">
</t>
    </r>
    <r>
      <rPr>
        <sz val="14"/>
        <color indexed="19"/>
        <rFont val="Arial"/>
      </rPr>
      <t xml:space="preserve">excel
</t>
    </r>
    <r>
      <rPr>
        <sz val="14"/>
        <color indexed="18"/>
        <rFont val="Arial"/>
      </rPr>
      <t xml:space="preserve">WAHL(Nummer;"0–20";"20–40";"40–60";"60–80";"80–100";"100–120")
</t>
    </r>
    <r>
      <rPr>
        <sz val="14"/>
        <color indexed="18"/>
        <rFont val="Arial"/>
      </rPr>
      <t xml:space="preserve">WAHL gibt den Text zurück, der zur berechneten Nummer gehört:
</t>
    </r>
    <r>
      <rPr>
        <sz val="14"/>
        <color indexed="18"/>
        <rFont val="Arial"/>
      </rPr>
      <t xml:space="preserve">1 → 0–20
</t>
    </r>
    <r>
      <rPr>
        <sz val="14"/>
        <color indexed="18"/>
        <rFont val="Arial"/>
      </rPr>
      <t xml:space="preserve">
</t>
    </r>
    <r>
      <rPr>
        <sz val="14"/>
        <color indexed="18"/>
        <rFont val="Arial"/>
      </rPr>
      <t xml:space="preserve">2 → 20–40
</t>
    </r>
    <r>
      <rPr>
        <sz val="14"/>
        <color indexed="18"/>
        <rFont val="Arial"/>
      </rPr>
      <t xml:space="preserve">
</t>
    </r>
    <r>
      <rPr>
        <sz val="14"/>
        <color indexed="18"/>
        <rFont val="Arial"/>
      </rPr>
      <t xml:space="preserve">3 → 40–60
</t>
    </r>
    <r>
      <rPr>
        <sz val="14"/>
        <color indexed="18"/>
        <rFont val="Arial"/>
      </rPr>
      <t xml:space="preserve">
</t>
    </r>
    <r>
      <rPr>
        <sz val="14"/>
        <color indexed="18"/>
        <rFont val="Arial"/>
      </rPr>
      <t xml:space="preserve">4 → 60–80
</t>
    </r>
    <r>
      <rPr>
        <sz val="14"/>
        <color indexed="18"/>
        <rFont val="Arial"/>
      </rPr>
      <t xml:space="preserve">
</t>
    </r>
    <r>
      <rPr>
        <sz val="14"/>
        <color indexed="18"/>
        <rFont val="Arial"/>
      </rPr>
      <t xml:space="preserve">5 → 80–100
</t>
    </r>
    <r>
      <rPr>
        <sz val="14"/>
        <color indexed="18"/>
        <rFont val="Arial"/>
      </rPr>
      <t xml:space="preserve">
</t>
    </r>
    <r>
      <rPr>
        <sz val="14"/>
        <color indexed="18"/>
        <rFont val="Arial"/>
      </rPr>
      <t xml:space="preserve">6 → 100–120
</t>
    </r>
    <r>
      <rPr>
        <sz val="14"/>
        <color indexed="18"/>
        <rFont val="Arial"/>
      </rPr>
      <t xml:space="preserve">
</t>
    </r>
    <r>
      <rPr>
        <sz val="14"/>
        <color indexed="18"/>
        <rFont val="Arial"/>
      </rPr>
      <t>Für F2 = 47 ist die Nummer 3. Das Ergebnis lautet daher 40–60.</t>
    </r>
  </si>
  <si>
    <r>
      <rPr>
        <b val="1"/>
        <sz val="14"/>
        <color indexed="18"/>
        <rFont val="Arial"/>
      </rPr>
      <t xml:space="preserve">Wert in F2
</t>
    </r>
    <r>
      <rPr>
        <b val="1"/>
        <sz val="14"/>
        <color indexed="18"/>
        <rFont val="Arial"/>
      </rPr>
      <t xml:space="preserve">Berechnete Kategori
</t>
    </r>
    <r>
      <rPr>
        <b val="1"/>
        <sz val="14"/>
        <color indexed="18"/>
        <rFont val="Arial"/>
      </rPr>
      <t xml:space="preserve">Ergebnis
</t>
    </r>
    <r>
      <rPr>
        <sz val="14"/>
        <color indexed="18"/>
        <rFont val="Arial"/>
      </rPr>
      <t xml:space="preserve">12
</t>
    </r>
    <r>
      <rPr>
        <sz val="14"/>
        <color indexed="18"/>
        <rFont val="Arial"/>
      </rPr>
      <t xml:space="preserve">1
</t>
    </r>
    <r>
      <rPr>
        <sz val="14"/>
        <color indexed="18"/>
        <rFont val="Arial"/>
      </rPr>
      <t xml:space="preserve">0–20
</t>
    </r>
  </si>
  <si>
    <r>
      <rPr>
        <b val="1"/>
        <sz val="14"/>
        <color indexed="18"/>
        <rFont val="Arial"/>
      </rPr>
      <t xml:space="preserve">3. Warum ist diese Formel praktisch?
</t>
    </r>
    <r>
      <rPr>
        <b val="1"/>
        <sz val="14"/>
        <color indexed="18"/>
        <rFont val="Arial"/>
      </rPr>
      <t>Automatisch:</t>
    </r>
    <r>
      <rPr>
        <sz val="14"/>
        <color indexed="18"/>
        <rFont val="Arial"/>
      </rPr>
      <t xml:space="preserve"> Jeder Zahlenwert wird einem Intervall zugeordnet.
</t>
    </r>
    <r>
      <rPr>
        <sz val="14"/>
        <color indexed="18"/>
        <rFont val="Arial"/>
      </rPr>
      <t xml:space="preserve">
</t>
    </r>
    <r>
      <rPr>
        <b val="1"/>
        <sz val="14"/>
        <color indexed="18"/>
        <rFont val="Arial"/>
      </rPr>
      <t>Einheitlich:</t>
    </r>
    <r>
      <rPr>
        <sz val="14"/>
        <color indexed="18"/>
        <rFont val="Arial"/>
      </rPr>
      <t xml:space="preserve"> Die Intervalle sind jeweils 20 Einheiten breit.
</t>
    </r>
    <r>
      <rPr>
        <sz val="14"/>
        <color indexed="18"/>
        <rFont val="Arial"/>
      </rPr>
      <t xml:space="preserve">
</t>
    </r>
    <r>
      <rPr>
        <b val="1"/>
        <sz val="14"/>
        <color indexed="18"/>
        <rFont val="Arial"/>
      </rPr>
      <t>Kompakt:</t>
    </r>
    <r>
      <rPr>
        <sz val="14"/>
        <color indexed="18"/>
        <rFont val="Arial"/>
      </rPr>
      <t xml:space="preserve"> Du musst keine einzelnen Grenzwerte mit mehreren Bedingungen prüfen.
</t>
    </r>
    <r>
      <rPr>
        <sz val="14"/>
        <color indexed="18"/>
        <rFont val="Arial"/>
      </rPr>
      <t xml:space="preserve">
</t>
    </r>
    <r>
      <rPr>
        <b val="1"/>
        <sz val="14"/>
        <color indexed="18"/>
        <rFont val="Arial"/>
      </rPr>
      <t>Begrenzt:</t>
    </r>
    <r>
      <rPr>
        <sz val="14"/>
        <color indexed="18"/>
        <rFont val="Arial"/>
      </rPr>
      <t xml:space="preserve"> Werte ab 120 landen in der letzten Kategorie.
</t>
    </r>
    <r>
      <rPr>
        <sz val="14"/>
        <color indexed="18"/>
        <rFont val="Arial"/>
      </rPr>
      <t xml:space="preserve">
</t>
    </r>
    <r>
      <rPr>
        <b val="1"/>
        <sz val="14"/>
        <color indexed="18"/>
        <rFont val="Arial"/>
      </rPr>
      <t>Wichtig:</t>
    </r>
    <r>
      <rPr>
        <sz val="14"/>
        <color indexed="18"/>
        <rFont val="Arial"/>
      </rPr>
      <t xml:space="preserve"> Die Formel ist für nicht negative Zahlen gedacht. Werte ab 120 werden immer als 100–120 ausgegeben. Wenn du Werte über 120 separat behandeln möchtest, müsste die Formel angepasst werden.</t>
    </r>
  </si>
  <si>
    <t>Aggregation (Summe_Anzahl_Durch</t>
  </si>
  <si>
    <t>Summe</t>
  </si>
  <si>
    <t>Kosten_EUR (Summe)</t>
  </si>
  <si>
    <t>VorgangsID (Alle Zellen zählen)</t>
  </si>
  <si>
    <t>Bearbeitungsdauer_Min (Mittelwert)</t>
  </si>
  <si>
    <t>Gesamt­summe</t>
  </si>
  <si>
    <t>Gruppierung - Summe</t>
  </si>
  <si>
    <t>Gruppierung - Summe - Summe</t>
  </si>
  <si>
    <t>Datum (Monat)</t>
  </si>
  <si>
    <t>Gruppierung - Summe - Tabelle 1</t>
  </si>
  <si>
    <t>„Alle Zeichnungen des Blatts“</t>
  </si>
  <si>
    <t>Gruppierung - Summe - Zeichnung</t>
  </si>
  <si>
    <t>Gruppierung2 - Tabelle 1 Pivot</t>
  </si>
  <si>
    <t>Tabelle 1 Pivot</t>
  </si>
  <si>
    <t xml:space="preserve">Gruppierung2 - Tabelle 1 Pivot </t>
  </si>
  <si>
    <t>(leer)</t>
  </si>
  <si>
    <t>Gruppierung2 - Tabelle 1 Pivot1</t>
  </si>
  <si>
    <t>Gruppierung2 - Tabelle 1 Pivot2</t>
  </si>
  <si>
    <t>Berechnetes Feld - Tabelle 1 Pi</t>
  </si>
  <si>
    <t>Bearbeitungsdauer_Min (Summe)</t>
  </si>
  <si>
    <t>Berechnetes Feld - Tabelle 1 P1</t>
  </si>
  <si>
    <t>Berechnetes Feld - Tabelle 1</t>
  </si>
  <si>
    <t>Gesamtkosten</t>
  </si>
  <si>
    <t>Gesamtdauer</t>
  </si>
  <si>
    <t>Kosten pro Minute</t>
  </si>
  <si>
    <t>Gesamt</t>
  </si>
  <si>
    <t>Berechnetes Feld - Zeichnungen</t>
  </si>
  <si>
    <t>Wertfeldeinstellungen - Tabelle</t>
  </si>
  <si>
    <t>(Multiple Items)</t>
  </si>
  <si>
    <t>Wertfeldeinstellungen - Tabell1</t>
  </si>
  <si>
    <t>Wertfeldeinstellungen - Tabell2</t>
  </si>
  <si>
    <t>Wertfeldeinstellungen-1 - Tabel</t>
  </si>
  <si>
    <t>Wertfeldeinstellungen-1 - Tabe1</t>
  </si>
  <si>
    <t>Wertfeldeinstellungen-1 - Tabe2</t>
  </si>
  <si>
    <t xml:space="preserve">Slicer und Zeitachse - Tabelle </t>
  </si>
  <si>
    <t>Slicer und Zeitachse - Tabelle1</t>
  </si>
  <si>
    <t>Slicer und Zeitachse - Tabelle2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</si>
</sst>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.mm.yy hh:mm"/>
    <numFmt numFmtId="60" formatCode="&quot;DD&quot;.mm.&quot;YYYY&quot;"/>
    <numFmt numFmtId="61" formatCode="mmmm"/>
  </numFmts>
  <fonts count="21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12"/>
      <name val="Arial"/>
    </font>
    <font>
      <b val="1"/>
      <sz val="11"/>
      <color indexed="8"/>
      <name val="Calibri"/>
    </font>
    <font>
      <sz val="10"/>
      <color indexed="8"/>
      <name val="Arial"/>
    </font>
    <font>
      <b val="1"/>
      <sz val="14"/>
      <color indexed="12"/>
      <name val="Arial"/>
    </font>
    <font>
      <b val="1"/>
      <sz val="14"/>
      <color indexed="8"/>
      <name val="Arial"/>
    </font>
    <font>
      <sz val="14"/>
      <color indexed="8"/>
      <name val="Arial"/>
    </font>
    <font>
      <sz val="14"/>
      <color indexed="18"/>
      <name val="Arial"/>
    </font>
    <font>
      <b val="1"/>
      <sz val="14"/>
      <color indexed="18"/>
      <name val="Arial"/>
    </font>
    <font>
      <sz val="14"/>
      <color indexed="19"/>
      <name val="Arial"/>
    </font>
    <font>
      <sz val="16"/>
      <color indexed="8"/>
      <name val="Arial"/>
    </font>
    <font>
      <sz val="18"/>
      <color indexed="8"/>
      <name val="Helvetica Neue"/>
    </font>
    <font>
      <b val="1"/>
      <sz val="13"/>
      <color indexed="8"/>
      <name val="Arial"/>
    </font>
    <font>
      <sz val="15"/>
      <color indexed="8"/>
      <name val="Calibri"/>
    </font>
    <font>
      <sz val="18"/>
      <color indexed="8"/>
      <name val="Calibri"/>
    </font>
    <font>
      <sz val="13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1"/>
        <bgColor auto="1"/>
      </patternFill>
    </fill>
  </fills>
  <borders count="53">
    <border>
      <left/>
      <right/>
      <top/>
      <bottom/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 style="thin">
        <color indexed="16"/>
      </right>
      <top style="thin">
        <color indexed="14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/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6"/>
      </top>
      <bottom style="thin">
        <color indexed="16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6"/>
      </left>
      <right/>
      <top style="thin">
        <color indexed="14"/>
      </top>
      <bottom style="thin">
        <color indexed="16"/>
      </bottom>
      <diagonal/>
    </border>
    <border>
      <left/>
      <right/>
      <top style="thin">
        <color indexed="14"/>
      </top>
      <bottom style="thin">
        <color indexed="16"/>
      </bottom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20"/>
      </left>
      <right style="thin">
        <color indexed="8"/>
      </right>
      <top style="thin">
        <color indexed="20"/>
      </top>
      <bottom style="thin">
        <color indexed="16"/>
      </bottom>
      <diagonal/>
    </border>
    <border>
      <left style="thin">
        <color indexed="8"/>
      </left>
      <right style="thin">
        <color indexed="20"/>
      </right>
      <top style="thin">
        <color indexed="20"/>
      </top>
      <bottom style="thin">
        <color indexed="16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16"/>
      </bottom>
      <diagonal/>
    </border>
    <border>
      <left style="thin">
        <color indexed="20"/>
      </left>
      <right style="thin">
        <color indexed="16"/>
      </right>
      <top style="thin">
        <color indexed="16"/>
      </top>
      <bottom style="thin">
        <color indexed="20"/>
      </bottom>
      <diagonal/>
    </border>
    <border>
      <left style="thin">
        <color indexed="16"/>
      </left>
      <right style="thin">
        <color indexed="20"/>
      </right>
      <top style="thin">
        <color indexed="16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16"/>
      </top>
      <bottom style="thin">
        <color indexed="20"/>
      </bottom>
      <diagonal/>
    </border>
    <border>
      <left style="thin">
        <color indexed="20"/>
      </left>
      <right style="thin">
        <color indexed="16"/>
      </right>
      <top style="thin">
        <color indexed="20"/>
      </top>
      <bottom style="thin">
        <color indexed="20"/>
      </bottom>
      <diagonal/>
    </border>
    <border>
      <left style="thin">
        <color indexed="16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 style="thin">
        <color indexed="16"/>
      </right>
      <top style="thin">
        <color indexed="20"/>
      </top>
      <bottom style="thin">
        <color indexed="16"/>
      </bottom>
      <diagonal/>
    </border>
    <border>
      <left style="thin">
        <color indexed="16"/>
      </left>
      <right style="thin">
        <color indexed="20"/>
      </right>
      <top style="thin">
        <color indexed="20"/>
      </top>
      <bottom style="thin">
        <color indexed="16"/>
      </bottom>
      <diagonal/>
    </border>
    <border>
      <left style="thin">
        <color indexed="20"/>
      </left>
      <right style="thin">
        <color indexed="8"/>
      </right>
      <top style="thin">
        <color indexed="16"/>
      </top>
      <bottom style="thin">
        <color indexed="20"/>
      </bottom>
      <diagonal/>
    </border>
    <border>
      <left style="thin">
        <color indexed="8"/>
      </left>
      <right style="thin">
        <color indexed="20"/>
      </right>
      <top style="thin">
        <color indexed="16"/>
      </top>
      <bottom style="thin">
        <color indexed="20"/>
      </bottom>
      <diagonal/>
    </border>
    <border>
      <left style="thin">
        <color indexed="16"/>
      </left>
      <right/>
      <top style="thin">
        <color indexed="16"/>
      </top>
      <bottom/>
      <diagonal/>
    </border>
    <border>
      <left/>
      <right style="thin">
        <color indexed="16"/>
      </right>
      <top style="thin">
        <color indexed="16"/>
      </top>
      <bottom/>
      <diagonal/>
    </border>
    <border>
      <left style="thin">
        <color indexed="16"/>
      </left>
      <right/>
      <top/>
      <bottom/>
      <diagonal/>
    </border>
    <border>
      <left/>
      <right style="thin">
        <color indexed="16"/>
      </right>
      <top/>
      <bottom/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/>
      <right/>
      <top style="thin">
        <color indexed="16"/>
      </top>
      <bottom/>
      <diagonal/>
    </border>
    <border>
      <left/>
      <right/>
      <top/>
      <bottom/>
      <diagonal/>
    </border>
    <border>
      <left/>
      <right/>
      <top/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25"/>
      </bottom>
      <diagonal/>
    </border>
    <border>
      <left/>
      <right/>
      <top style="thin">
        <color indexed="16"/>
      </top>
      <bottom style="thin">
        <color indexed="25"/>
      </bottom>
      <diagonal/>
    </border>
    <border>
      <left/>
      <right style="thin">
        <color indexed="16"/>
      </right>
      <top style="thin">
        <color indexed="16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6"/>
      </bottom>
      <diagonal/>
    </border>
    <border>
      <left style="thin">
        <color indexed="25"/>
      </left>
      <right style="thin">
        <color indexed="8"/>
      </right>
      <top style="thin">
        <color indexed="26"/>
      </top>
      <bottom style="thin">
        <color indexed="25"/>
      </bottom>
      <diagonal/>
    </border>
    <border>
      <left style="thin">
        <color indexed="8"/>
      </left>
      <right style="thin">
        <color indexed="25"/>
      </right>
      <top style="thin">
        <color indexed="26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6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8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16"/>
      </left>
      <right style="thin">
        <color indexed="16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8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bottom"/>
    </xf>
    <xf numFmtId="49" fontId="6" fillId="4" borderId="2" applyNumberFormat="1" applyFont="1" applyFill="1" applyBorder="1" applyAlignment="1" applyProtection="0">
      <alignment horizontal="center" vertical="bottom"/>
    </xf>
    <xf numFmtId="49" fontId="6" fillId="4" borderId="3" applyNumberFormat="1" applyFont="1" applyFill="1" applyBorder="1" applyAlignment="1" applyProtection="0">
      <alignment horizontal="center" vertical="bottom"/>
    </xf>
    <xf numFmtId="49" fontId="7" fillId="5" borderId="4" applyNumberFormat="1" applyFont="1" applyFill="1" applyBorder="1" applyAlignment="1" applyProtection="0">
      <alignment vertical="bottom"/>
    </xf>
    <xf numFmtId="49" fontId="8" fillId="6" borderId="1" applyNumberFormat="1" applyFont="1" applyFill="1" applyBorder="1" applyAlignment="1" applyProtection="0">
      <alignment vertical="bottom"/>
    </xf>
    <xf numFmtId="60" fontId="0" fillId="6" borderId="2" applyNumberFormat="1" applyFont="1" applyFill="1" applyBorder="1" applyAlignment="1" applyProtection="0">
      <alignment vertical="bottom"/>
    </xf>
    <xf numFmtId="49" fontId="8" fillId="6" borderId="2" applyNumberFormat="1" applyFont="1" applyFill="1" applyBorder="1" applyAlignment="1" applyProtection="0">
      <alignment vertical="bottom"/>
    </xf>
    <xf numFmtId="0" fontId="8" fillId="6" borderId="2" applyNumberFormat="1" applyFont="1" applyFill="1" applyBorder="1" applyAlignment="1" applyProtection="0">
      <alignment vertical="bottom"/>
    </xf>
    <xf numFmtId="1" fontId="8" fillId="6" borderId="2" applyNumberFormat="1" applyFont="1" applyFill="1" applyBorder="1" applyAlignment="1" applyProtection="0">
      <alignment vertical="bottom"/>
    </xf>
    <xf numFmtId="49" fontId="8" fillId="6" borderId="3" applyNumberFormat="1" applyFont="1" applyFill="1" applyBorder="1" applyAlignment="1" applyProtection="0">
      <alignment vertical="bottom"/>
    </xf>
    <xf numFmtId="0" fontId="0" fillId="7" borderId="4" applyNumberFormat="0" applyFont="1" applyFill="1" applyBorder="1" applyAlignment="1" applyProtection="0">
      <alignment vertical="bottom"/>
    </xf>
    <xf numFmtId="49" fontId="8" fillId="7" borderId="5" applyNumberFormat="1" applyFont="1" applyFill="1" applyBorder="1" applyAlignment="1" applyProtection="0">
      <alignment vertical="bottom"/>
    </xf>
    <xf numFmtId="60" fontId="0" fillId="7" borderId="6" applyNumberFormat="1" applyFont="1" applyFill="1" applyBorder="1" applyAlignment="1" applyProtection="0">
      <alignment vertical="bottom"/>
    </xf>
    <xf numFmtId="49" fontId="8" fillId="7" borderId="6" applyNumberFormat="1" applyFont="1" applyFill="1" applyBorder="1" applyAlignment="1" applyProtection="0">
      <alignment vertical="bottom"/>
    </xf>
    <xf numFmtId="0" fontId="8" fillId="7" borderId="6" applyNumberFormat="1" applyFont="1" applyFill="1" applyBorder="1" applyAlignment="1" applyProtection="0">
      <alignment vertical="bottom"/>
    </xf>
    <xf numFmtId="1" fontId="8" fillId="7" borderId="6" applyNumberFormat="1" applyFont="1" applyFill="1" applyBorder="1" applyAlignment="1" applyProtection="0">
      <alignment vertical="bottom"/>
    </xf>
    <xf numFmtId="49" fontId="8" fillId="7" borderId="7" applyNumberFormat="1" applyFont="1" applyFill="1" applyBorder="1" applyAlignment="1" applyProtection="0">
      <alignment vertical="bottom"/>
    </xf>
    <xf numFmtId="0" fontId="0" fillId="7" borderId="8" applyNumberFormat="0" applyFont="1" applyFill="1" applyBorder="1" applyAlignment="1" applyProtection="0">
      <alignment vertical="bottom"/>
    </xf>
    <xf numFmtId="0" fontId="0" fillId="7" borderId="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9" fillId="4" borderId="1" applyNumberFormat="1" applyFont="1" applyFill="1" applyBorder="1" applyAlignment="1" applyProtection="0">
      <alignment horizontal="center" vertical="bottom"/>
    </xf>
    <xf numFmtId="49" fontId="9" fillId="4" borderId="2" applyNumberFormat="1" applyFont="1" applyFill="1" applyBorder="1" applyAlignment="1" applyProtection="0">
      <alignment horizontal="center" vertical="bottom"/>
    </xf>
    <xf numFmtId="49" fontId="9" fillId="4" borderId="10" applyNumberFormat="1" applyFont="1" applyFill="1" applyBorder="1" applyAlignment="1" applyProtection="0">
      <alignment horizontal="center" vertical="bottom"/>
    </xf>
    <xf numFmtId="49" fontId="9" fillId="4" borderId="6" applyNumberFormat="1" applyFont="1" applyFill="1" applyBorder="1" applyAlignment="1" applyProtection="0">
      <alignment horizontal="center" vertical="bottom"/>
    </xf>
    <xf numFmtId="49" fontId="9" fillId="4" borderId="11" applyNumberFormat="1" applyFont="1" applyFill="1" applyBorder="1" applyAlignment="1" applyProtection="0">
      <alignment horizontal="center" vertical="bottom"/>
    </xf>
    <xf numFmtId="49" fontId="9" fillId="4" borderId="3" applyNumberFormat="1" applyFont="1" applyFill="1" applyBorder="1" applyAlignment="1" applyProtection="0">
      <alignment horizontal="center" vertical="bottom"/>
    </xf>
    <xf numFmtId="49" fontId="10" fillId="5" borderId="12" applyNumberFormat="1" applyFont="1" applyFill="1" applyBorder="1" applyAlignment="1" applyProtection="0">
      <alignment vertical="bottom"/>
    </xf>
    <xf numFmtId="49" fontId="10" fillId="5" borderId="13" applyNumberFormat="1" applyFont="1" applyFill="1" applyBorder="1" applyAlignment="1" applyProtection="0">
      <alignment vertical="bottom"/>
    </xf>
    <xf numFmtId="49" fontId="10" fillId="5" borderId="4" applyNumberFormat="1" applyFont="1" applyFill="1" applyBorder="1" applyAlignment="1" applyProtection="0">
      <alignment vertical="bottom"/>
    </xf>
    <xf numFmtId="49" fontId="11" fillId="6" borderId="1" applyNumberFormat="1" applyFont="1" applyFill="1" applyBorder="1" applyAlignment="1" applyProtection="0">
      <alignment vertical="bottom"/>
    </xf>
    <xf numFmtId="60" fontId="11" fillId="6" borderId="2" applyNumberFormat="1" applyFont="1" applyFill="1" applyBorder="1" applyAlignment="1" applyProtection="0">
      <alignment vertical="bottom"/>
    </xf>
    <xf numFmtId="49" fontId="11" fillId="6" borderId="2" applyNumberFormat="1" applyFont="1" applyFill="1" applyBorder="1" applyAlignment="1" applyProtection="0">
      <alignment vertical="bottom"/>
    </xf>
    <xf numFmtId="0" fontId="11" fillId="6" borderId="2" applyNumberFormat="1" applyFont="1" applyFill="1" applyBorder="1" applyAlignment="1" applyProtection="0">
      <alignment vertical="bottom"/>
    </xf>
    <xf numFmtId="1" fontId="11" fillId="6" borderId="2" applyNumberFormat="1" applyFont="1" applyFill="1" applyBorder="1" applyAlignment="1" applyProtection="0">
      <alignment vertical="bottom"/>
    </xf>
    <xf numFmtId="0" fontId="11" fillId="6" borderId="3" applyNumberFormat="1" applyFont="1" applyFill="1" applyBorder="1" applyAlignment="1" applyProtection="0">
      <alignment vertical="bottom"/>
    </xf>
    <xf numFmtId="0" fontId="11" fillId="7" borderId="13" applyNumberFormat="0" applyFont="1" applyFill="1" applyBorder="1" applyAlignment="1" applyProtection="0">
      <alignment vertical="bottom"/>
    </xf>
    <xf numFmtId="0" fontId="11" fillId="7" borderId="4" applyNumberFormat="1" applyFont="1" applyFill="1" applyBorder="1" applyAlignment="1" applyProtection="0">
      <alignment vertical="bottom"/>
    </xf>
    <xf numFmtId="49" fontId="11" fillId="7" borderId="5" applyNumberFormat="1" applyFont="1" applyFill="1" applyBorder="1" applyAlignment="1" applyProtection="0">
      <alignment vertical="bottom"/>
    </xf>
    <xf numFmtId="60" fontId="11" fillId="7" borderId="6" applyNumberFormat="1" applyFont="1" applyFill="1" applyBorder="1" applyAlignment="1" applyProtection="0">
      <alignment vertical="bottom"/>
    </xf>
    <xf numFmtId="49" fontId="11" fillId="7" borderId="6" applyNumberFormat="1" applyFont="1" applyFill="1" applyBorder="1" applyAlignment="1" applyProtection="0">
      <alignment vertical="bottom"/>
    </xf>
    <xf numFmtId="0" fontId="11" fillId="7" borderId="6" applyNumberFormat="1" applyFont="1" applyFill="1" applyBorder="1" applyAlignment="1" applyProtection="0">
      <alignment vertical="bottom"/>
    </xf>
    <xf numFmtId="1" fontId="11" fillId="7" borderId="6" applyNumberFormat="1" applyFont="1" applyFill="1" applyBorder="1" applyAlignment="1" applyProtection="0">
      <alignment vertical="bottom"/>
    </xf>
    <xf numFmtId="49" fontId="11" fillId="7" borderId="7" applyNumberFormat="1" applyFont="1" applyFill="1" applyBorder="1" applyAlignment="1" applyProtection="0">
      <alignment vertical="bottom"/>
    </xf>
    <xf numFmtId="0" fontId="11" fillId="6" borderId="14" applyNumberFormat="1" applyFont="1" applyFill="1" applyBorder="1" applyAlignment="1" applyProtection="0">
      <alignment vertical="bottom"/>
    </xf>
    <xf numFmtId="49" fontId="11" fillId="7" borderId="6" applyNumberFormat="1" applyFont="1" applyFill="1" applyBorder="1" applyAlignment="1" applyProtection="0">
      <alignment vertical="bottom" wrapText="1"/>
    </xf>
    <xf numFmtId="0" fontId="11" fillId="7" borderId="6" applyNumberFormat="0" applyFont="1" applyFill="1" applyBorder="1" applyAlignment="1" applyProtection="0">
      <alignment vertical="bottom"/>
    </xf>
    <xf numFmtId="0" fontId="11" fillId="7" borderId="9" applyNumberFormat="0" applyFont="1" applyFill="1" applyBorder="1" applyAlignment="1" applyProtection="0">
      <alignment vertical="bottom"/>
    </xf>
    <xf numFmtId="0" fontId="0" fillId="7" borderId="15" applyNumberFormat="0" applyFont="1" applyFill="1" applyBorder="1" applyAlignment="1" applyProtection="0">
      <alignment vertical="bottom"/>
    </xf>
    <xf numFmtId="0" fontId="0" fillId="7" borderId="16" applyNumberFormat="0" applyFont="1" applyFill="1" applyBorder="1" applyAlignment="1" applyProtection="0">
      <alignment vertical="bottom"/>
    </xf>
    <xf numFmtId="0" fontId="0" fillId="7" borderId="17" applyNumberFormat="0" applyFont="1" applyFill="1" applyBorder="1" applyAlignment="1" applyProtection="0">
      <alignment vertical="bottom"/>
    </xf>
    <xf numFmtId="0" fontId="0" fillId="7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vertical="center"/>
    </xf>
    <xf numFmtId="49" fontId="7" fillId="5" borderId="19" applyNumberFormat="1" applyFont="1" applyFill="1" applyBorder="1" applyAlignment="1" applyProtection="0">
      <alignment vertical="bottom"/>
    </xf>
    <xf numFmtId="49" fontId="7" fillId="5" borderId="20" applyNumberFormat="1" applyFont="1" applyFill="1" applyBorder="1" applyAlignment="1" applyProtection="0">
      <alignment vertical="bottom"/>
    </xf>
    <xf numFmtId="49" fontId="7" fillId="5" borderId="21" applyNumberFormat="1" applyFont="1" applyFill="1" applyBorder="1" applyAlignment="1" applyProtection="0">
      <alignment vertical="bottom"/>
    </xf>
    <xf numFmtId="49" fontId="7" fillId="8" borderId="22" applyNumberFormat="1" applyFont="1" applyFill="1" applyBorder="1" applyAlignment="1" applyProtection="0">
      <alignment vertical="bottom"/>
    </xf>
    <xf numFmtId="1" fontId="7" fillId="8" borderId="23" applyNumberFormat="1" applyFont="1" applyFill="1" applyBorder="1" applyAlignment="1" applyProtection="0">
      <alignment vertical="bottom"/>
    </xf>
    <xf numFmtId="0" fontId="7" fillId="8" borderId="24" applyNumberFormat="1" applyFont="1" applyFill="1" applyBorder="1" applyAlignment="1" applyProtection="0">
      <alignment vertical="bottom"/>
    </xf>
    <xf numFmtId="49" fontId="7" fillId="8" borderId="25" applyNumberFormat="1" applyFont="1" applyFill="1" applyBorder="1" applyAlignment="1" applyProtection="0">
      <alignment vertical="bottom"/>
    </xf>
    <xf numFmtId="1" fontId="7" fillId="8" borderId="26" applyNumberFormat="1" applyFont="1" applyFill="1" applyBorder="1" applyAlignment="1" applyProtection="0">
      <alignment vertical="bottom"/>
    </xf>
    <xf numFmtId="0" fontId="7" fillId="8" borderId="27" applyNumberFormat="1" applyFont="1" applyFill="1" applyBorder="1" applyAlignment="1" applyProtection="0">
      <alignment vertical="bottom"/>
    </xf>
    <xf numFmtId="49" fontId="7" fillId="8" borderId="28" applyNumberFormat="1" applyFont="1" applyFill="1" applyBorder="1" applyAlignment="1" applyProtection="0">
      <alignment vertical="bottom"/>
    </xf>
    <xf numFmtId="1" fontId="7" fillId="8" borderId="29" applyNumberFormat="1" applyFont="1" applyFill="1" applyBorder="1" applyAlignment="1" applyProtection="0">
      <alignment vertical="bottom"/>
    </xf>
    <xf numFmtId="0" fontId="7" fillId="8" borderId="21" applyNumberFormat="1" applyFont="1" applyFill="1" applyBorder="1" applyAlignment="1" applyProtection="0">
      <alignment vertical="bottom"/>
    </xf>
    <xf numFmtId="49" fontId="7" fillId="7" borderId="30" applyNumberFormat="1" applyFont="1" applyFill="1" applyBorder="1" applyAlignment="1" applyProtection="0">
      <alignment vertical="bottom"/>
    </xf>
    <xf numFmtId="1" fontId="7" fillId="7" borderId="31" applyNumberFormat="1" applyFont="1" applyFill="1" applyBorder="1" applyAlignment="1" applyProtection="0">
      <alignment vertical="bottom"/>
    </xf>
    <xf numFmtId="0" fontId="7" fillId="7" borderId="2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61" fontId="7" fillId="8" borderId="22" applyNumberFormat="1" applyFont="1" applyFill="1" applyBorder="1" applyAlignment="1" applyProtection="0">
      <alignment vertical="bottom"/>
    </xf>
    <xf numFmtId="0" fontId="7" fillId="8" borderId="23" applyNumberFormat="1" applyFont="1" applyFill="1" applyBorder="1" applyAlignment="1" applyProtection="0">
      <alignment vertical="bottom"/>
    </xf>
    <xf numFmtId="61" fontId="7" fillId="8" borderId="25" applyNumberFormat="1" applyFont="1" applyFill="1" applyBorder="1" applyAlignment="1" applyProtection="0">
      <alignment vertical="bottom"/>
    </xf>
    <xf numFmtId="0" fontId="7" fillId="8" borderId="26" applyNumberFormat="1" applyFont="1" applyFill="1" applyBorder="1" applyAlignment="1" applyProtection="0">
      <alignment vertical="bottom"/>
    </xf>
    <xf numFmtId="61" fontId="7" fillId="8" borderId="28" applyNumberFormat="1" applyFont="1" applyFill="1" applyBorder="1" applyAlignment="1" applyProtection="0">
      <alignment vertical="bottom"/>
    </xf>
    <xf numFmtId="0" fontId="7" fillId="8" borderId="29" applyNumberFormat="1" applyFont="1" applyFill="1" applyBorder="1" applyAlignment="1" applyProtection="0">
      <alignment vertical="bottom"/>
    </xf>
    <xf numFmtId="0" fontId="7" fillId="7" borderId="3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7" borderId="32" applyNumberFormat="0" applyFont="1" applyFill="1" applyBorder="1" applyAlignment="1" applyProtection="0">
      <alignment vertical="bottom"/>
    </xf>
    <xf numFmtId="0" fontId="0" fillId="7" borderId="33" applyNumberFormat="0" applyFont="1" applyFill="1" applyBorder="1" applyAlignment="1" applyProtection="0">
      <alignment vertical="bottom"/>
    </xf>
    <xf numFmtId="0" fontId="0" fillId="7" borderId="34" applyNumberFormat="0" applyFont="1" applyFill="1" applyBorder="1" applyAlignment="1" applyProtection="0">
      <alignment vertical="bottom"/>
    </xf>
    <xf numFmtId="0" fontId="0" fillId="7" borderId="35" applyNumberFormat="0" applyFont="1" applyFill="1" applyBorder="1" applyAlignment="1" applyProtection="0">
      <alignment vertical="bottom"/>
    </xf>
    <xf numFmtId="0" fontId="0" fillId="7" borderId="36" applyNumberFormat="0" applyFont="1" applyFill="1" applyBorder="1" applyAlignment="1" applyProtection="0">
      <alignment vertical="bottom"/>
    </xf>
    <xf numFmtId="0" fontId="0" fillId="7" borderId="37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7" borderId="38" applyNumberFormat="0" applyFont="1" applyFill="1" applyBorder="1" applyAlignment="1" applyProtection="0">
      <alignment vertical="bottom"/>
    </xf>
    <xf numFmtId="49" fontId="18" fillId="7" borderId="38" applyNumberFormat="1" applyFont="1" applyFill="1" applyBorder="1" applyAlignment="1" applyProtection="0">
      <alignment horizontal="center" vertical="center"/>
    </xf>
    <xf numFmtId="0" fontId="18" fillId="7" borderId="18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8" fillId="7" borderId="17" applyNumberFormat="0" applyFont="1" applyFill="1" applyBorder="1" applyAlignment="1" applyProtection="0">
      <alignment horizontal="center" vertical="center"/>
    </xf>
    <xf numFmtId="0" fontId="0" fillId="7" borderId="39" applyNumberFormat="0" applyFont="1" applyFill="1" applyBorder="1" applyAlignment="1" applyProtection="0">
      <alignment vertical="bottom"/>
    </xf>
    <xf numFmtId="0" fontId="0" fillId="7" borderId="40" applyNumberFormat="0" applyFont="1" applyFill="1" applyBorder="1" applyAlignment="1" applyProtection="0">
      <alignment vertical="bottom"/>
    </xf>
    <xf numFmtId="0" fontId="0" fillId="7" borderId="4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8" fillId="7" borderId="42" applyNumberFormat="1" applyFont="1" applyFill="1" applyBorder="1" applyAlignment="1" applyProtection="0">
      <alignment horizontal="center" vertical="center"/>
    </xf>
    <xf numFmtId="0" fontId="18" fillId="7" borderId="43" applyNumberFormat="0" applyFont="1" applyFill="1" applyBorder="1" applyAlignment="1" applyProtection="0">
      <alignment horizontal="center" vertical="center"/>
    </xf>
    <xf numFmtId="0" fontId="18" fillId="7" borderId="44" applyNumberFormat="0" applyFont="1" applyFill="1" applyBorder="1" applyAlignment="1" applyProtection="0">
      <alignment horizontal="center" vertical="center"/>
    </xf>
    <xf numFmtId="49" fontId="10" fillId="5" borderId="45" applyNumberFormat="1" applyFont="1" applyFill="1" applyBorder="1" applyAlignment="1" applyProtection="0">
      <alignment vertical="bottom"/>
    </xf>
    <xf numFmtId="0" fontId="10" fillId="5" borderId="45" applyNumberFormat="0" applyFont="1" applyFill="1" applyBorder="1" applyAlignment="1" applyProtection="0">
      <alignment vertical="bottom"/>
    </xf>
    <xf numFmtId="49" fontId="11" fillId="7" borderId="46" applyNumberFormat="1" applyFont="1" applyFill="1" applyBorder="1" applyAlignment="1" applyProtection="0">
      <alignment vertical="bottom"/>
    </xf>
    <xf numFmtId="1" fontId="11" fillId="7" borderId="47" applyNumberFormat="1" applyFont="1" applyFill="1" applyBorder="1" applyAlignment="1" applyProtection="0">
      <alignment vertical="bottom"/>
    </xf>
    <xf numFmtId="0" fontId="11" fillId="7" borderId="48" applyNumberFormat="1" applyFont="1" applyFill="1" applyBorder="1" applyAlignment="1" applyProtection="0">
      <alignment vertical="bottom"/>
    </xf>
    <xf numFmtId="0" fontId="11" fillId="7" borderId="48" applyNumberFormat="0" applyFont="1" applyFill="1" applyBorder="1" applyAlignment="1" applyProtection="0">
      <alignment vertical="bottom"/>
    </xf>
    <xf numFmtId="49" fontId="11" fillId="7" borderId="49" applyNumberFormat="1" applyFont="1" applyFill="1" applyBorder="1" applyAlignment="1" applyProtection="0">
      <alignment vertical="bottom"/>
    </xf>
    <xf numFmtId="1" fontId="11" fillId="7" borderId="50" applyNumberFormat="1" applyFont="1" applyFill="1" applyBorder="1" applyAlignment="1" applyProtection="0">
      <alignment vertical="bottom"/>
    </xf>
    <xf numFmtId="0" fontId="11" fillId="7" borderId="51" applyNumberFormat="1" applyFont="1" applyFill="1" applyBorder="1" applyAlignment="1" applyProtection="0">
      <alignment vertical="bottom"/>
    </xf>
    <xf numFmtId="0" fontId="11" fillId="7" borderId="51" applyNumberFormat="0" applyFont="1" applyFill="1" applyBorder="1" applyAlignment="1" applyProtection="0">
      <alignment vertical="bottom"/>
    </xf>
    <xf numFmtId="0" fontId="11" fillId="7" borderId="50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0" fontId="0" borderId="39" applyNumberFormat="0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0" fontId="0" borderId="40" applyNumberFormat="0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0" fontId="0" borderId="36" applyNumberFormat="0" applyFont="1" applyFill="0" applyBorder="1" applyAlignment="1" applyProtection="0">
      <alignment vertical="bottom"/>
    </xf>
    <xf numFmtId="0" fontId="0" borderId="41" applyNumberFormat="0" applyFont="1" applyFill="0" applyBorder="1" applyAlignment="1" applyProtection="0">
      <alignment vertical="bottom"/>
    </xf>
    <xf numFmtId="0" fontId="0" borderId="3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0" fontId="7" fillId="8" borderId="24" applyNumberFormat="1" applyFont="1" applyFill="1" applyBorder="1" applyAlignment="1" applyProtection="0">
      <alignment vertical="bottom"/>
    </xf>
    <xf numFmtId="10" fontId="7" fillId="8" borderId="27" applyNumberFormat="1" applyFont="1" applyFill="1" applyBorder="1" applyAlignment="1" applyProtection="0">
      <alignment vertical="bottom"/>
    </xf>
    <xf numFmtId="10" fontId="7" fillId="8" borderId="21" applyNumberFormat="1" applyFont="1" applyFill="1" applyBorder="1" applyAlignment="1" applyProtection="0">
      <alignment vertical="bottom"/>
    </xf>
    <xf numFmtId="10" fontId="7" fillId="7" borderId="2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18" fillId="7" borderId="33" applyNumberFormat="0" applyFont="1" applyFill="1" applyBorder="1" applyAlignment="1" applyProtection="0">
      <alignment horizontal="center" vertical="center"/>
    </xf>
    <xf numFmtId="0" fontId="0" fillId="7" borderId="5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56"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  <dxf>
      <font>
        <color rgb="ff000000"/>
      </font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20"/>
        </bottom>
        <diagonal/>
        <vertical style="thin"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20"/>
        </left>
        <right style="thin">
          <color indexed="20"/>
        </right>
        <top style="thin">
          <color indexed="20"/>
        </top>
        <bottom style="thin">
          <color indexed="16"/>
        </bottom>
        <diagonal/>
        <vertical style="thin">
          <color indexed="20"/>
        </vertical>
        <horizontal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15"/>
        </patternFill>
      </fill>
      <border>
        <left style="thin">
          <color indexed="8"/>
        </left>
        <right style="thin">
          <color indexed="8"/>
        </right>
        <top/>
        <bottom style="medium">
          <color indexed="16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20"/>
        </top>
        <bottom style="thin">
          <color indexed="20"/>
        </bottom>
        <diagonal/>
        <vertical>
          <color indexed="20"/>
        </vertical>
        <horizontal style="thin">
          <color indexed="20"/>
        </horizontal>
      </border>
    </dxf>
    <dxf>
      <font>
        <b val="1"/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16"/>
        </right>
        <top style="thin">
          <color indexed="8"/>
        </top>
        <bottom style="thin">
          <color indexed="8"/>
        </bottom>
        <diagonal/>
        <vertical>
          <color indexed="20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 style="thin">
          <color indexed="20"/>
        </left>
        <right style="thin">
          <color indexed="20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2"/>
          <bgColor indexed="21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20"/>
        </left>
        <right style="thin">
          <color indexed="20"/>
        </right>
        <top style="thin">
          <color indexed="16"/>
        </top>
        <bottom style="thin">
          <color indexed="8"/>
        </bottom>
        <diagonal/>
        <vertical style="thin">
          <color indexed="20"/>
        </vertical>
        <horizontal>
          <color indexed="20"/>
        </horizontal>
      </border>
    </dxf>
  </dxfs>
  <tableStyles count="7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  <tableStyle name="PivotStyleCustom02">
      <tableStyleElement type="wholeTable" dxfId="8"/>
      <tableStyleElement type="headerRow" dxfId="9"/>
      <tableStyleElement type="firstColumnSubheading" dxfId="10"/>
      <tableStyleElement type="secondColumnSubheading" dxfId="10"/>
      <tableStyleElement type="thirdColumnSubheading" dxfId="10"/>
      <tableStyleElement type="firstColumn" dxfId="11"/>
      <tableStyleElement type="lastColumn" dxfId="11"/>
      <tableStyleElement type="firstRowSubheading" dxfId="12"/>
      <tableStyleElement type="secondRowSubheading" dxfId="12"/>
      <tableStyleElement type="thirdRowSubheading" dxfId="12"/>
      <tableStyleElement type="firstSubtotalColumn" dxfId="13"/>
      <tableStyleElement type="secondSubtotalColumn" dxfId="13"/>
      <tableStyleElement type="thirdSubtotalColumn" dxfId="13"/>
      <tableStyleElement type="firstSubtotalRow" dxfId="14"/>
      <tableStyleElement type="secondSubtotalRow" dxfId="14"/>
      <tableStyleElement type="thirdSubtotalRow" dxfId="14"/>
      <tableStyleElement type="totalRow" dxfId="15"/>
    </tableStyle>
    <tableStyle name="PivotStyleCustom03">
      <tableStyleElement type="wholeTable" dxfId="16"/>
      <tableStyleElement type="headerRow" dxfId="17"/>
      <tableStyleElement type="firstColumnSubheading" dxfId="18"/>
      <tableStyleElement type="secondColumnSubheading" dxfId="18"/>
      <tableStyleElement type="thirdColumnSubheading" dxfId="18"/>
      <tableStyleElement type="firstColumn" dxfId="19"/>
      <tableStyleElement type="lastColumn" dxfId="19"/>
      <tableStyleElement type="firstRowSubheading" dxfId="20"/>
      <tableStyleElement type="secondRowSubheading" dxfId="20"/>
      <tableStyleElement type="thirdRowSubheading" dxfId="20"/>
      <tableStyleElement type="firstSubtotalColumn" dxfId="21"/>
      <tableStyleElement type="secondSubtotalColumn" dxfId="21"/>
      <tableStyleElement type="thirdSubtotalColumn" dxfId="21"/>
      <tableStyleElement type="firstSubtotalRow" dxfId="22"/>
      <tableStyleElement type="secondSubtotalRow" dxfId="22"/>
      <tableStyleElement type="thirdSubtotalRow" dxfId="22"/>
      <tableStyleElement type="totalRow" dxfId="23"/>
    </tableStyle>
    <tableStyle name="PivotStyleCustom04">
      <tableStyleElement type="wholeTable" dxfId="24"/>
      <tableStyleElement type="headerRow" dxfId="25"/>
      <tableStyleElement type="firstColumnSubheading" dxfId="26"/>
      <tableStyleElement type="secondColumnSubheading" dxfId="26"/>
      <tableStyleElement type="thirdColumnSubheading" dxfId="26"/>
      <tableStyleElement type="firstColumn" dxfId="27"/>
      <tableStyleElement type="lastColumn" dxfId="27"/>
      <tableStyleElement type="firstRowSubheading" dxfId="28"/>
      <tableStyleElement type="secondRowSubheading" dxfId="28"/>
      <tableStyleElement type="thirdRowSubheading" dxfId="28"/>
      <tableStyleElement type="firstSubtotalColumn" dxfId="29"/>
      <tableStyleElement type="secondSubtotalColumn" dxfId="29"/>
      <tableStyleElement type="thirdSubtotalColumn" dxfId="29"/>
      <tableStyleElement type="firstSubtotalRow" dxfId="30"/>
      <tableStyleElement type="secondSubtotalRow" dxfId="30"/>
      <tableStyleElement type="thirdSubtotalRow" dxfId="30"/>
      <tableStyleElement type="totalRow" dxfId="31"/>
    </tableStyle>
    <tableStyle name="PivotStyleCustom05">
      <tableStyleElement type="wholeTable" dxfId="32"/>
      <tableStyleElement type="headerRow" dxfId="33"/>
      <tableStyleElement type="firstColumnSubheading" dxfId="34"/>
      <tableStyleElement type="secondColumnSubheading" dxfId="34"/>
      <tableStyleElement type="thirdColumnSubheading" dxfId="34"/>
      <tableStyleElement type="firstColumn" dxfId="35"/>
      <tableStyleElement type="lastColumn" dxfId="35"/>
      <tableStyleElement type="firstRowSubheading" dxfId="36"/>
      <tableStyleElement type="secondRowSubheading" dxfId="36"/>
      <tableStyleElement type="thirdRowSubheading" dxfId="36"/>
      <tableStyleElement type="firstSubtotalColumn" dxfId="37"/>
      <tableStyleElement type="secondSubtotalColumn" dxfId="37"/>
      <tableStyleElement type="thirdSubtotalColumn" dxfId="37"/>
      <tableStyleElement type="firstSubtotalRow" dxfId="38"/>
      <tableStyleElement type="secondSubtotalRow" dxfId="38"/>
      <tableStyleElement type="thirdSubtotalRow" dxfId="38"/>
      <tableStyleElement type="totalRow" dxfId="39"/>
    </tableStyle>
    <tableStyle name="PivotStyleCustom06">
      <tableStyleElement type="wholeTable" dxfId="40"/>
      <tableStyleElement type="headerRow" dxfId="41"/>
      <tableStyleElement type="firstColumnSubheading" dxfId="42"/>
      <tableStyleElement type="secondColumnSubheading" dxfId="42"/>
      <tableStyleElement type="thirdColumnSubheading" dxfId="42"/>
      <tableStyleElement type="firstColumn" dxfId="43"/>
      <tableStyleElement type="lastColumn" dxfId="43"/>
      <tableStyleElement type="firstRowSubheading" dxfId="44"/>
      <tableStyleElement type="secondRowSubheading" dxfId="44"/>
      <tableStyleElement type="thirdRowSubheading" dxfId="44"/>
      <tableStyleElement type="firstSubtotalColumn" dxfId="45"/>
      <tableStyleElement type="secondSubtotalColumn" dxfId="45"/>
      <tableStyleElement type="thirdSubtotalColumn" dxfId="45"/>
      <tableStyleElement type="firstSubtotalRow" dxfId="46"/>
      <tableStyleElement type="secondSubtotalRow" dxfId="46"/>
      <tableStyleElement type="thirdSubtotalRow" dxfId="46"/>
      <tableStyleElement type="totalRow" dxfId="47"/>
    </tableStyle>
    <tableStyle name="PivotStyleCustom07">
      <tableStyleElement type="wholeTable" dxfId="48"/>
      <tableStyleElement type="headerRow" dxfId="49"/>
      <tableStyleElement type="firstColumnSubheading" dxfId="50"/>
      <tableStyleElement type="secondColumnSubheading" dxfId="50"/>
      <tableStyleElement type="thirdColumnSubheading" dxfId="50"/>
      <tableStyleElement type="firstColumn" dxfId="51"/>
      <tableStyleElement type="lastColumn" dxfId="51"/>
      <tableStyleElement type="firstRowSubheading" dxfId="52"/>
      <tableStyleElement type="secondRowSubheading" dxfId="52"/>
      <tableStyleElement type="thirdRowSubheading" dxfId="52"/>
      <tableStyleElement type="firstSubtotalColumn" dxfId="53"/>
      <tableStyleElement type="secondSubtotalColumn" dxfId="53"/>
      <tableStyleElement type="thirdSubtotalColumn" dxfId="53"/>
      <tableStyleElement type="firstSubtotalRow" dxfId="54"/>
      <tableStyleElement type="secondSubtotalRow" dxfId="54"/>
      <tableStyleElement type="thirdSubtotalRow" dxfId="54"/>
      <tableStyleElement type="totalRow" dxfId="5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1f4e78"/>
      <rgbColor rgb="ff95b3d7"/>
      <rgbColor rgb="ffbdc0bf"/>
      <rgbColor rgb="ffaaaaaa"/>
      <rgbColor rgb="ffdbe5f1"/>
      <rgbColor rgb="ff0c0c0c"/>
      <rgbColor rgb="ff5d5d5d"/>
      <rgbColor rgb="ffd4d4d4"/>
      <rgbColor rgb="ffdbdbdb"/>
      <rgbColor rgb="00000000"/>
      <rgbColor rgb="ff878787"/>
      <rgbColor rgb="fff9f9f9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29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3.xml"/><Relationship Id="rId31" Type="http://schemas.openxmlformats.org/officeDocument/2006/relationships/pivotCacheDefinition" Target="pivotCache/pivotCacheDefinition4.xml"/><Relationship Id="rId32" Type="http://schemas.openxmlformats.org/officeDocument/2006/relationships/pivotCacheDefinition" Target="pivotCache/pivotCacheDefinition5.xml"/><Relationship Id="rId33" Type="http://schemas.openxmlformats.org/officeDocument/2006/relationships/pivotCacheDefinition" Target="pivotCache/pivotCacheDefinition6.xml"/><Relationship Id="rId34" Type="http://schemas.openxmlformats.org/officeDocument/2006/relationships/pivotCacheDefinition" Target="pivotCache/pivotCacheDefinition7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[Excel_Pivot-Tabellen1.xlsx]Gruppierung - Summe - Summe!Summe</c:name>
    <c:fmtId val="0"/>
  </c:pivotSource>
  <c:chart>
    <c:title>
      <c:tx>
        <c:rich>
          <a:bodyPr rot="0"/>
          <a:lstStyle/>
          <a:p>
            <a:pPr>
              <a:defRPr b="1" i="0" strike="noStrike" sz="1300" u="none">
                <a:solidFill>
                  <a:srgbClr val="000000"/>
                </a:solidFill>
                <a:latin typeface="Arial"/>
              </a:defRPr>
            </a:pPr>
            <a:r>
              <a:rPr b="1" i="0" strike="noStrike" sz="1300" u="none">
                <a:solidFill>
                  <a:srgbClr val="000000"/>
                </a:solidFill>
                <a:latin typeface="Arial"/>
              </a:rPr>
              <a:t>Gesamt­summe VorgangsID (Zählen (alle))</a:t>
            </a:r>
          </a:p>
        </c:rich>
      </c:tx>
      <c:layout>
        <c:manualLayout>
          <c:xMode val="edge"/>
          <c:yMode val="edge"/>
          <c:x val="0.287459"/>
          <c:y val="0"/>
          <c:w val="0.425082"/>
          <c:h val="0.0873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98449"/>
          <c:y val="0.08736"/>
          <c:w val="0.791535"/>
          <c:h val="0.70597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'Gruppierung - Summe - Summe'!$B$2</c:f>
              <c:strCache>
                <c:ptCount val="1"/>
                <c:pt idx="0">
                  <c:v>Gesamt­summe VorgangsID (Zählen (alle))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600" u="non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'Gruppierung - Summe - Summe'!$A$3:$A$14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'Gruppierung - Summe - Summe'!$B$3:$B$14</c:f>
              <c:numCache>
                <c:ptCount val="12"/>
                <c:pt idx="0">
                  <c:v>33.000000</c:v>
                </c:pt>
                <c:pt idx="1">
                  <c:v>29.000000</c:v>
                </c:pt>
                <c:pt idx="2">
                  <c:v>32.000000</c:v>
                </c:pt>
                <c:pt idx="3">
                  <c:v>22.000000</c:v>
                </c:pt>
                <c:pt idx="4">
                  <c:v>37.000000</c:v>
                </c:pt>
                <c:pt idx="5">
                  <c:v>37.000000</c:v>
                </c:pt>
                <c:pt idx="6">
                  <c:v>39.000000</c:v>
                </c:pt>
                <c:pt idx="7">
                  <c:v>17.000000</c:v>
                </c:pt>
                <c:pt idx="8">
                  <c:v>30.000000</c:v>
                </c:pt>
                <c:pt idx="9">
                  <c:v>45.000000</c:v>
                </c:pt>
                <c:pt idx="10">
                  <c:v>44.000000</c:v>
                </c:pt>
                <c:pt idx="11">
                  <c:v>34.000000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i="0" strike="noStrike" sz="16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trike="noStrike" sz="1600" u="none">
                    <a:solidFill>
                      <a:srgbClr val="000000"/>
                    </a:solidFill>
                    <a:latin typeface="Arial"/>
                  </a:rPr>
                  <a:t>Monate 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600" u="none">
                <a:solidFill>
                  <a:srgbClr val="000000"/>
                </a:solidFill>
                <a:latin typeface="Arial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i="0" strike="noStrike" sz="1600" u="none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trike="noStrike" sz="1600" u="none">
                    <a:solidFill>
                      <a:srgbClr val="000000"/>
                    </a:solidFill>
                    <a:latin typeface="Arial"/>
                  </a:rPr>
                  <a:t>Anzahl VorgangsID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high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-2700000"/>
          <a:lstStyle/>
          <a:p>
            <a:pPr>
              <a:defRPr b="0" i="0" strike="noStrike" sz="1600" u="none">
                <a:solidFill>
                  <a:srgbClr val="000000"/>
                </a:solidFill>
                <a:latin typeface="Arial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[Excel_Pivot-Tabellen1.xlsx]Gruppierung2 - Tabelle 1 Pivot !Tabelle 1 Pivot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Gesamt­summe VorgangsID (Zählen (alle))</a:t>
            </a:r>
          </a:p>
        </c:rich>
      </c:tx>
      <c:layout>
        <c:manualLayout>
          <c:xMode val="edge"/>
          <c:yMode val="edge"/>
          <c:x val="0.221906"/>
          <c:y val="0"/>
          <c:w val="0.556187"/>
          <c:h val="0.10920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82197"/>
          <c:y val="0.109209"/>
          <c:w val="0.792246"/>
          <c:h val="0.713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'Gruppierung2 - Tabelle 1 Pivot '!$B$2</c:f>
              <c:strCache>
                <c:ptCount val="1"/>
                <c:pt idx="0">
                  <c:v>Gesamt­summe VorgangsID (Zählen (alle))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'Gruppierung2 - Tabelle 1 Pivot '!$A$3:$A$8</c:f>
              <c:strCache>
                <c:ptCount val="6"/>
                <c:pt idx="0">
                  <c:v>0–20</c:v>
                </c:pt>
                <c:pt idx="1">
                  <c:v>20–40</c:v>
                </c:pt>
                <c:pt idx="2">
                  <c:v>40–60</c:v>
                </c:pt>
                <c:pt idx="3">
                  <c:v>60–80</c:v>
                </c:pt>
                <c:pt idx="4">
                  <c:v>80–100</c:v>
                </c:pt>
                <c:pt idx="5">
                  <c:v>(leer)</c:v>
                </c:pt>
              </c:strCache>
            </c:strRef>
          </c:cat>
          <c:val>
            <c:numRef>
              <c:f>'Gruppierung2 - Tabelle 1 Pivot '!$B$3:$B$8</c:f>
              <c:numCache>
                <c:ptCount val="6"/>
                <c:pt idx="0">
                  <c:v>85.000000</c:v>
                </c:pt>
                <c:pt idx="1">
                  <c:v>228.000000</c:v>
                </c:pt>
                <c:pt idx="2">
                  <c:v>64.000000</c:v>
                </c:pt>
                <c:pt idx="3">
                  <c:v>19.000000</c:v>
                </c:pt>
                <c:pt idx="4">
                  <c:v>3.000000</c:v>
                </c:pt>
                <c:pt idx="5">
                  <c:v>5.000000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Calibri"/>
                  </a:rPr>
                  <a:t>Bearbeitungsdauer/Interval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Calibri"/>
                  </a:rPr>
                  <a:t>Anzahl VorgangsID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high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75"/>
        <c:minorUnit val="37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[Excel_Pivot-Tabellen1.xlsx]Berechnetes Feld - Tabelle 1 Pi!Tabelle 1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29627"/>
          <c:y val="0.0577586"/>
          <c:w val="0.729098"/>
          <c:h val="0.7549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'Berechnetes Feld - Tabelle 1 Pi'!$B$3</c:f>
              <c:strCache>
                <c:ptCount val="1"/>
                <c:pt idx="0">
                  <c:v>Gesamt­summe Kosten_EUR (Summe)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'Berechnetes Feld - Tabelle 1 Pi'!$A$4:$A$9</c:f>
              <c:strCache>
                <c:ptCount val="6"/>
                <c:pt idx="0">
                  <c:v>Buchhaltung</c:v>
                </c:pt>
                <c:pt idx="1">
                  <c:v>Einkauf</c:v>
                </c:pt>
                <c:pt idx="2">
                  <c:v>IT-Support</c:v>
                </c:pt>
                <c:pt idx="3">
                  <c:v>Service</c:v>
                </c:pt>
                <c:pt idx="4">
                  <c:v>Vertrieb</c:v>
                </c:pt>
                <c:pt idx="5">
                  <c:v>(leer)</c:v>
                </c:pt>
              </c:strCache>
            </c:strRef>
          </c:cat>
          <c:val>
            <c:numRef>
              <c:f>'Berechnetes Feld - Tabelle 1 Pi'!$B$4:$B$9</c:f>
              <c:numCache>
                <c:ptCount val="6"/>
                <c:pt idx="0">
                  <c:v>2804.660000</c:v>
                </c:pt>
                <c:pt idx="1">
                  <c:v>4161.050000</c:v>
                </c:pt>
                <c:pt idx="2">
                  <c:v>1840.060000</c:v>
                </c:pt>
                <c:pt idx="3">
                  <c:v>2698.170000</c:v>
                </c:pt>
                <c:pt idx="4">
                  <c:v>6767.570000</c:v>
                </c:pt>
                <c:pt idx="5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'Berechnetes Feld - Tabelle 1 Pi'!$C$3</c:f>
              <c:strCache>
                <c:ptCount val="1"/>
                <c:pt idx="0">
                  <c:v>Gesamt­summe Bearbeitungsdauer_Min (Summe)</c:v>
                </c:pt>
              </c:strCache>
            </c:strRef>
          </c:tx>
          <c:spPr>
            <a:solidFill>
              <a:schemeClr val="accent2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'Berechnetes Feld - Tabelle 1 Pi'!$A$4:$A$9</c:f>
              <c:strCache>
                <c:ptCount val="6"/>
                <c:pt idx="0">
                  <c:v>Buchhaltung</c:v>
                </c:pt>
                <c:pt idx="1">
                  <c:v>Einkauf</c:v>
                </c:pt>
                <c:pt idx="2">
                  <c:v>IT-Support</c:v>
                </c:pt>
                <c:pt idx="3">
                  <c:v>Service</c:v>
                </c:pt>
                <c:pt idx="4">
                  <c:v>Vertrieb</c:v>
                </c:pt>
                <c:pt idx="5">
                  <c:v>(leer)</c:v>
                </c:pt>
              </c:strCache>
            </c:strRef>
          </c:cat>
          <c:val>
            <c:numRef>
              <c:f>'Berechnetes Feld - Tabelle 1 Pi'!$C$4:$C$9</c:f>
              <c:numCache>
                <c:ptCount val="6"/>
                <c:pt idx="0">
                  <c:v>1720.000000</c:v>
                </c:pt>
                <c:pt idx="1">
                  <c:v>2269.000000</c:v>
                </c:pt>
                <c:pt idx="2">
                  <c:v>1634.000000</c:v>
                </c:pt>
                <c:pt idx="3">
                  <c:v>2193.000000</c:v>
                </c:pt>
                <c:pt idx="4">
                  <c:v>4434.000000</c:v>
                </c:pt>
                <c:pt idx="5">
                  <c:v>0.000000</c:v>
                </c:pt>
              </c:numCache>
            </c:numRef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Calibri"/>
                  </a:rPr>
                  <a:t>Bearbeitungsdauer/Interval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Calibri"/>
                  </a:rPr>
                  <a:t>Anzahl VorgangsID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high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750"/>
        <c:minorUnit val="8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[Excel_Pivot-Tabellen1.xlsx]Wertfeldeinstellungen - Tabelle!Tabelle 1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91358"/>
          <c:y val="0.0631624"/>
          <c:w val="0.765317"/>
          <c:h val="0.827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'Wertfeldeinstellungen - Tabelle'!$B$5</c:f>
              <c:strCache>
                <c:ptCount val="1"/>
                <c:pt idx="0">
                  <c:v>Gesamt­summe Kosten_EUR (Summe)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'Wertfeldeinstellungen - Tabelle'!$A$6:$A$11</c:f>
              <c:strCache>
                <c:ptCount val="5"/>
                <c:pt idx="0">
                  <c:v>Buchhaltung</c:v>
                </c:pt>
                <c:pt idx="1">
                  <c:v>Einkauf</c:v>
                </c:pt>
                <c:pt idx="2">
                  <c:v>IT-Support</c:v>
                </c:pt>
                <c:pt idx="3">
                  <c:v>Service</c:v>
                </c:pt>
                <c:pt idx="4">
                  <c:v>Vertrieb</c:v>
                </c:pt>
              </c:strCache>
            </c:strRef>
          </c:cat>
          <c:val>
            <c:numLit>
              <c:ptCount val="5"/>
              <c:pt idx="0">
                <c:v>2804.660000</c:v>
              </c:pt>
              <c:pt idx="1">
                <c:v>4161.050000</c:v>
              </c:pt>
              <c:pt idx="2">
                <c:v>1840.060000</c:v>
              </c:pt>
              <c:pt idx="3">
                <c:v>2698.170000</c:v>
              </c:pt>
              <c:pt idx="4">
                <c:v>6767.570000</c:v>
              </c:pt>
            </c:numLit>
          </c:val>
        </c:ser>
        <c:ser>
          <c:idx val="1"/>
          <c:order val="1"/>
          <c:tx>
            <c:strRef>
              <c:f>'Wertfeldeinstellungen - Tabelle'!$C$5</c:f>
              <c:strCache>
                <c:ptCount val="1"/>
                <c:pt idx="0">
                  <c:v>Gesamt­summe Kosten_EUR (Summe)</c:v>
                </c:pt>
              </c:strCache>
            </c:strRef>
          </c:tx>
          <c:spPr>
            <a:solidFill>
              <a:schemeClr val="accent2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'Wertfeldeinstellungen - Tabelle'!$A$6:$A$11</c:f>
              <c:strCache>
                <c:ptCount val="5"/>
                <c:pt idx="0">
                  <c:v>Buchhaltung</c:v>
                </c:pt>
                <c:pt idx="1">
                  <c:v>Einkauf</c:v>
                </c:pt>
                <c:pt idx="2">
                  <c:v>IT-Support</c:v>
                </c:pt>
                <c:pt idx="3">
                  <c:v>Service</c:v>
                </c:pt>
                <c:pt idx="4">
                  <c:v>Vertrieb</c:v>
                </c:pt>
              </c:strCache>
            </c:strRef>
          </c:cat>
          <c:val>
            <c:numLit>
              <c:ptCount val="5"/>
              <c:pt idx="0">
                <c:v>0.153499</c:v>
              </c:pt>
              <c:pt idx="1">
                <c:v>0.227734</c:v>
              </c:pt>
              <c:pt idx="2">
                <c:v>0.100707</c:v>
              </c:pt>
              <c:pt idx="3">
                <c:v>0.147671</c:v>
              </c:pt>
              <c:pt idx="4">
                <c:v>0.370389</c:v>
              </c:pt>
            </c:numLit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high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750"/>
        <c:minorUnit val="8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[Excel_Pivot-Tabellen1.xlsx]Wertfeldeinstellungen-1 - Tabel!Tabelle 1 Pivot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Gesamt­summe Kosten_EUR (Summe)</a:t>
            </a:r>
          </a:p>
        </c:rich>
      </c:tx>
      <c:layout>
        <c:manualLayout>
          <c:xMode val="edge"/>
          <c:yMode val="edge"/>
          <c:x val="0.250655"/>
          <c:y val="0"/>
          <c:w val="0.49869"/>
          <c:h val="0.1188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5366"/>
          <c:y val="0.11882"/>
          <c:w val="0.783122"/>
          <c:h val="0.7780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'Wertfeldeinstellungen-1 - Tabel'!$B$4</c:f>
              <c:strCache>
                <c:ptCount val="1"/>
                <c:pt idx="0">
                  <c:v>Gesamt­summe Kosten_EUR (Summe)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'Wertfeldeinstellungen-1 - Tabel'!$A$5:$A$17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Lit>
              <c:ptCount val="12"/>
              <c:pt idx="0">
                <c:v>1416.060000</c:v>
              </c:pt>
              <c:pt idx="1">
                <c:v>2842.720000</c:v>
              </c:pt>
              <c:pt idx="2">
                <c:v>4140.880000</c:v>
              </c:pt>
              <c:pt idx="3">
                <c:v>4937.530000</c:v>
              </c:pt>
              <c:pt idx="4">
                <c:v>6701.180000</c:v>
              </c:pt>
              <c:pt idx="5">
                <c:v>8231.070000</c:v>
              </c:pt>
              <c:pt idx="6">
                <c:v>10283.520000</c:v>
              </c:pt>
              <c:pt idx="7">
                <c:v>10904.080000</c:v>
              </c:pt>
              <c:pt idx="8">
                <c:v>12149.500000</c:v>
              </c:pt>
              <c:pt idx="9">
                <c:v>14077.430000</c:v>
              </c:pt>
              <c:pt idx="10">
                <c:v>16571.730000</c:v>
              </c:pt>
              <c:pt idx="11">
                <c:v>18271.510000</c:v>
              </c:pt>
            </c:numLit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high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5000"/>
        <c:minorUnit val="25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[Excel_Pivot-Tabellen1.xlsx]Slicer und Zeitachse - Tabelle !Tabelle 1 Pivot</c:name>
    <c:fmtId val="0"/>
  </c:pivotSource>
  <c:chart>
    <c:title>
      <c:tx>
        <c:rich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  <a:r>
              <a:rPr b="0" i="0" strike="noStrike" sz="1800" u="none">
                <a:solidFill>
                  <a:srgbClr val="000000"/>
                </a:solidFill>
                <a:latin typeface="Calibri"/>
              </a:rPr>
              <a:t>Gesamt­summe Kosten_EUR (Summe)</a:t>
            </a:r>
          </a:p>
        </c:rich>
      </c:tx>
      <c:layout>
        <c:manualLayout>
          <c:xMode val="edge"/>
          <c:yMode val="edge"/>
          <c:x val="0.251968"/>
          <c:y val="0"/>
          <c:w val="0.496064"/>
          <c:h val="0.10920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87684"/>
          <c:y val="0.109209"/>
          <c:w val="0.779"/>
          <c:h val="0.713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'Slicer und Zeitachse - Tabelle '!$B$5</c:f>
              <c:strCache>
                <c:ptCount val="1"/>
                <c:pt idx="0">
                  <c:v>Gesamt­summe Kosten_EUR (Summe)</c:v>
                </c:pt>
              </c:strCache>
            </c:strRef>
          </c:tx>
          <c:spPr>
            <a:solidFill>
              <a:schemeClr val="accent1"/>
            </a:solidFill>
            <a:ln w="9525" cap="flat">
              <a:solidFill>
                <a:srgbClr val="F9F9F9"/>
              </a:solidFill>
              <a:prstDash val="solid"/>
              <a:round/>
            </a:ln>
            <a:effectLst>
              <a:outerShdw sx="100000" sy="100000" kx="0" ky="0" algn="tl" rotWithShape="1" blurRad="38100" dist="20000" dir="540000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'Slicer und Zeitachse - Tabelle '!$A$6:$A$11</c:f>
              <c:strCache>
                <c:ptCount val="2"/>
                <c:pt idx="0">
                  <c:v>Service</c:v>
                </c:pt>
                <c:pt idx="1">
                  <c:v>Vertrieb</c:v>
                </c:pt>
              </c:strCache>
            </c:strRef>
          </c:cat>
          <c:val>
            <c:numLit>
              <c:ptCount val="2"/>
              <c:pt idx="0">
                <c:v>2624.540000</c:v>
              </c:pt>
              <c:pt idx="1">
                <c:v>6670.670000</c:v>
              </c:pt>
            </c:numLit>
          </c:val>
        </c:ser>
        <c:gapWidth val="150"/>
        <c:overlap val="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Calibri"/>
                  </a:rPr>
                  <a:t>Bearbeitungsdauer/Interval</a:t>
                </a:r>
              </a:p>
            </c:rich>
          </c:tx>
          <c:layout/>
          <c:overlay val="1"/>
        </c:title>
        <c:numFmt formatCode="0" sourceLinked="0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i="0" strike="noStrike" sz="1800" u="none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trike="noStrike" sz="1800" u="none">
                    <a:solidFill>
                      <a:srgbClr val="000000"/>
                    </a:solidFill>
                    <a:latin typeface="Calibri"/>
                  </a:rPr>
                  <a:t>Anzahl VorgangsID</a:t>
                </a:r>
              </a:p>
            </c:rich>
          </c:tx>
          <c:layout/>
          <c:overlay val="1"/>
        </c:title>
        <c:numFmt formatCode="General" sourceLinked="1"/>
        <c:majorTickMark val="out"/>
        <c:minorTickMark val="none"/>
        <c:tickLblPos val="high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b="0" i="0" strike="noStrike" sz="1800" u="none">
                <a:solidFill>
                  <a:srgbClr val="000000"/>
                </a:solidFill>
                <a:latin typeface="Calibri"/>
              </a:defRPr>
            </a:pPr>
          </a:p>
        </c:txPr>
        <c:crossAx val="2094734552"/>
        <c:crosses val="autoZero"/>
        <c:crossBetween val="between"/>
        <c:majorUnit val="1750"/>
        <c:minorUnit val="8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11</xdr:col>
      <xdr:colOff>302934</xdr:colOff>
      <xdr:row>8</xdr:row>
      <xdr:rowOff>158803</xdr:rowOff>
    </xdr:from>
    <xdr:to>
      <xdr:col>15</xdr:col>
      <xdr:colOff>821512</xdr:colOff>
      <xdr:row>11</xdr:row>
      <xdr:rowOff>88358</xdr:rowOff>
    </xdr:to>
    <xdr:sp>
      <xdr:nvSpPr>
        <xdr:cNvPr id="2" name="Summe von Kosten in Euro, Anzahl von Vorgängen, Durchschnitt von Bearbeitungsdauer pro Abteilung"/>
        <xdr:cNvSpPr txBox="1"/>
      </xdr:nvSpPr>
      <xdr:spPr>
        <a:xfrm>
          <a:off x="11478934" y="1666293"/>
          <a:ext cx="4582579" cy="56582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Summe von Kosten in Euro, Anzahl von Vorgängen, Durchschnitt von Bearbeitungsdauer pro Abteilung</a:t>
          </a:r>
        </a:p>
      </xdr:txBody>
    </xdr:sp>
    <xdr:clientData/>
  </xdr:twoCellAnchor>
  <xdr:twoCellAnchor>
    <xdr:from>
      <xdr:col>0</xdr:col>
      <xdr:colOff>0</xdr:colOff>
      <xdr:row>32</xdr:row>
      <xdr:rowOff>80947</xdr:rowOff>
    </xdr:from>
    <xdr:to>
      <xdr:col>10</xdr:col>
      <xdr:colOff>571439</xdr:colOff>
      <xdr:row>34</xdr:row>
      <xdr:rowOff>204812</xdr:rowOff>
    </xdr:to>
    <xdr:sp>
      <xdr:nvSpPr>
        <xdr:cNvPr id="3" name="Welche Abteilung hat die höchsten Gesamtkosten?…"/>
        <xdr:cNvSpPr txBox="1"/>
      </xdr:nvSpPr>
      <xdr:spPr>
        <a:xfrm>
          <a:off x="-19050" y="6865287"/>
          <a:ext cx="10731440" cy="56582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Welche Abteilung hat die höchsten Gesamtkosten?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Welche hat die längste durchschnittliche Bearbeitungsdauer?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12</xdr:col>
      <xdr:colOff>165100</xdr:colOff>
      <xdr:row>18</xdr:row>
      <xdr:rowOff>6844</xdr:rowOff>
    </xdr:from>
    <xdr:to>
      <xdr:col>19</xdr:col>
      <xdr:colOff>342046</xdr:colOff>
      <xdr:row>27</xdr:row>
      <xdr:rowOff>21488</xdr:rowOff>
    </xdr:to>
    <xdr:sp>
      <xdr:nvSpPr>
        <xdr:cNvPr id="5" name="a) Datum gruppieren: Ziehe 'Datum' in die Zeilen, Rechtsklick auf ein Datum → Gruppieren → 'Monate' auswählen. Werte: Anzahl von VorgangsID.…"/>
        <xdr:cNvSpPr txBox="1"/>
      </xdr:nvSpPr>
      <xdr:spPr>
        <a:xfrm>
          <a:off x="9309100" y="2978644"/>
          <a:ext cx="5510947" cy="150054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a) Datum gruppieren: Ziehe 'Datum' in die Zeilen, Rechtsklick auf ein Datum → Gruppieren → 'Monate' auswählen. Werte: Anzahl von VorgangsID.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Frage: In welchem Monat ist das Vorgangsvolumen am niedrigsten? (Tipp: Sommerpause)</a:t>
          </a:r>
        </a:p>
      </xdr:txBody>
    </xdr:sp>
    <xdr:clientData/>
  </xdr:twoCellAnchor>
  <xdr:twoCellAnchor>
    <xdr:from>
      <xdr:col>0</xdr:col>
      <xdr:colOff>32765</xdr:colOff>
      <xdr:row>45</xdr:row>
      <xdr:rowOff>78526</xdr:rowOff>
    </xdr:from>
    <xdr:to>
      <xdr:col>10</xdr:col>
      <xdr:colOff>247060</xdr:colOff>
      <xdr:row>73</xdr:row>
      <xdr:rowOff>115196</xdr:rowOff>
    </xdr:to>
    <xdr:graphicFrame>
      <xdr:nvGraphicFramePr>
        <xdr:cNvPr id="6" name="2D-Balkendiagramm"/>
        <xdr:cNvGraphicFramePr/>
      </xdr:nvGraphicFramePr>
      <xdr:xfrm>
        <a:off x="32765" y="7508026"/>
        <a:ext cx="7834296" cy="465947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12</xdr:col>
      <xdr:colOff>213438</xdr:colOff>
      <xdr:row>11</xdr:row>
      <xdr:rowOff>106737</xdr:rowOff>
    </xdr:from>
    <xdr:to>
      <xdr:col>19</xdr:col>
      <xdr:colOff>390387</xdr:colOff>
      <xdr:row>20</xdr:row>
      <xdr:rowOff>121381</xdr:rowOff>
    </xdr:to>
    <xdr:sp>
      <xdr:nvSpPr>
        <xdr:cNvPr id="8" name="b) Wertebereiche gruppieren: Neue PivotTable. Zeilen: Bearbeitungsdauer_Min, Rechtsklick → Gruppieren → Beginnt bei 0, Endet bei 120, Intervall 20.…"/>
        <xdr:cNvSpPr txBox="1"/>
      </xdr:nvSpPr>
      <xdr:spPr>
        <a:xfrm>
          <a:off x="9357438" y="1922837"/>
          <a:ext cx="5510950" cy="150054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  b) Wertebereiche gruppieren: Neue PivotTable. Zeilen: Bearbeitungsdauer_Min, Rechtsklick → Gruppieren → Beginnt bei 0, Endet bei 120, Intervall 20.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  •    Werte: Anzahl von VorgangsID. Frage: In welchem Dauer-Intervall liegen die meisten Vorgänge?</a:t>
          </a:r>
        </a:p>
      </xdr:txBody>
    </xdr:sp>
    <xdr:clientData/>
  </xdr:twoCellAnchor>
  <xdr:twoCellAnchor>
    <xdr:from>
      <xdr:col>0</xdr:col>
      <xdr:colOff>0</xdr:colOff>
      <xdr:row>36</xdr:row>
      <xdr:rowOff>105271</xdr:rowOff>
    </xdr:from>
    <xdr:to>
      <xdr:col>9</xdr:col>
      <xdr:colOff>190626</xdr:colOff>
      <xdr:row>63</xdr:row>
      <xdr:rowOff>72966</xdr:rowOff>
    </xdr:to>
    <xdr:graphicFrame>
      <xdr:nvGraphicFramePr>
        <xdr:cNvPr id="9" name="2D-Balkendiagramm"/>
        <xdr:cNvGraphicFramePr/>
      </xdr:nvGraphicFramePr>
      <xdr:xfrm>
        <a:off x="-1" y="6048871"/>
        <a:ext cx="7048628" cy="442539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15</xdr:row>
      <xdr:rowOff>99902</xdr:rowOff>
    </xdr:from>
    <xdr:to>
      <xdr:col>7</xdr:col>
      <xdr:colOff>176948</xdr:colOff>
      <xdr:row>32</xdr:row>
      <xdr:rowOff>21044</xdr:rowOff>
    </xdr:to>
    <xdr:sp>
      <xdr:nvSpPr>
        <xdr:cNvPr id="11" name="In einer PivotTable mit Abteilung in den Zeilen: PivotTable-Analyse → Felder, Elemente und Sätze → Berechnetes Feld.…"/>
        <xdr:cNvSpPr txBox="1"/>
      </xdr:nvSpPr>
      <xdr:spPr>
        <a:xfrm>
          <a:off x="-19051" y="2576402"/>
          <a:ext cx="5510950" cy="272784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In einer PivotTable mit Abteilung in den Zeilen: PivotTable-Analyse → Felder, Elemente und Sätze → Berechnetes Feld.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Name: Kosten_pro_Minute   Formel: =Kosten_EUR/Bearbeitungsdauer_Min</a:t>
          </a:r>
          <a:endParaRPr b="0" baseline="0" cap="none" i="0" spc="0" strike="noStrike" sz="13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Füge das neue Feld zu den Werten hinzu.</a:t>
          </a:r>
          <a:endParaRPr b="0" baseline="0" cap="none" i="0" spc="0" strike="noStrike" sz="13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3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Achtung (Lerneffekt): Das Ergebnis ist NICHT der Durchschnitt der einzelnen Kosten_pro_Minute-Werte, sondern Summe(Kosten)/Summe(Dauer) je Abteilung – ein typischer Stolperstein bei berechneten Feldern.</a:t>
          </a:r>
        </a:p>
      </xdr:txBody>
    </xdr:sp>
    <xdr:clientData/>
  </xdr:twoCellAnchor>
  <xdr:twoCellAnchor>
    <xdr:from>
      <xdr:col>0</xdr:col>
      <xdr:colOff>0</xdr:colOff>
      <xdr:row>36</xdr:row>
      <xdr:rowOff>38515</xdr:rowOff>
    </xdr:from>
    <xdr:to>
      <xdr:col>10</xdr:col>
      <xdr:colOff>39112</xdr:colOff>
      <xdr:row>61</xdr:row>
      <xdr:rowOff>94763</xdr:rowOff>
    </xdr:to>
    <xdr:graphicFrame>
      <xdr:nvGraphicFramePr>
        <xdr:cNvPr id="12" name="2D-Balkendiagramm"/>
        <xdr:cNvGraphicFramePr/>
      </xdr:nvGraphicFramePr>
      <xdr:xfrm>
        <a:off x="-1" y="5982115"/>
        <a:ext cx="7659113" cy="418374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23</xdr:row>
      <xdr:rowOff>135274</xdr:rowOff>
    </xdr:from>
    <xdr:to>
      <xdr:col>11</xdr:col>
      <xdr:colOff>730428</xdr:colOff>
      <xdr:row>37</xdr:row>
      <xdr:rowOff>25458</xdr:rowOff>
    </xdr:to>
    <xdr:sp>
      <xdr:nvSpPr>
        <xdr:cNvPr id="14" name="a) % vom Gesamtergebnis: Werte: Summe von Kosten_EUR (zweimal hinzufügen). Beim zweiten Feld: Wertfeldeinstellungen → Werte anzeigen als → '% der Gesamtsumme’.…"/>
        <xdr:cNvSpPr txBox="1"/>
      </xdr:nvSpPr>
      <xdr:spPr>
        <a:xfrm>
          <a:off x="-19050" y="3932574"/>
          <a:ext cx="9112429" cy="220158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a) % vom Gesamtergebnis: Werte: Summe von Kosten_EUR (zweimal hinzufügen). Beim zweiten Feld: Wertfeldeinstellungen → Werte anzeigen als → '% der Gesamtsumme’.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  •    Frage: Welcher Anteil der Gesamtkosten entfällt auf den Vertrieb?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  b) Laufende Summe: Zeilen: Datum (gruppiert nach Monat). Werte: Summe von Kosten_EUR → Werte anzeigen als → 'Laufende Summe in' → Datum.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  •    Frage: Ab welchem Monat sind kumuliert mehr als 50% der Jahreskosten erreicht?</a:t>
          </a:r>
        </a:p>
      </xdr:txBody>
    </xdr:sp>
    <xdr:clientData/>
  </xdr:twoCellAnchor>
  <xdr:twoCellAnchor>
    <xdr:from>
      <xdr:col>0</xdr:col>
      <xdr:colOff>329726</xdr:colOff>
      <xdr:row>39</xdr:row>
      <xdr:rowOff>96428</xdr:rowOff>
    </xdr:from>
    <xdr:to>
      <xdr:col>10</xdr:col>
      <xdr:colOff>6368</xdr:colOff>
      <xdr:row>62</xdr:row>
      <xdr:rowOff>124937</xdr:rowOff>
    </xdr:to>
    <xdr:graphicFrame>
      <xdr:nvGraphicFramePr>
        <xdr:cNvPr id="15" name="2D-Balkendiagramm"/>
        <xdr:cNvGraphicFramePr/>
      </xdr:nvGraphicFramePr>
      <xdr:xfrm>
        <a:off x="329726" y="6535328"/>
        <a:ext cx="7296643" cy="382581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37</xdr:row>
      <xdr:rowOff>103089</xdr:rowOff>
    </xdr:from>
    <xdr:to>
      <xdr:col>11</xdr:col>
      <xdr:colOff>730428</xdr:colOff>
      <xdr:row>50</xdr:row>
      <xdr:rowOff>158374</xdr:rowOff>
    </xdr:to>
    <xdr:sp>
      <xdr:nvSpPr>
        <xdr:cNvPr id="17" name="a) % vom Gesamtergebnis: Werte: Summe von Kosten_EUR (zweimal hinzufügen). Beim zweiten Feld: Wertfeldeinstellungen → Werte anzeigen als → '% der Gesamtsumme’.…"/>
        <xdr:cNvSpPr txBox="1"/>
      </xdr:nvSpPr>
      <xdr:spPr>
        <a:xfrm>
          <a:off x="-19050" y="6211789"/>
          <a:ext cx="9112429" cy="220158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a) % vom Gesamtergebnis: Werte: Summe von Kosten_EUR (zweimal hinzufügen). Beim zweiten Feld: Wertfeldeinstellungen → Werte anzeigen als → '% der Gesamtsumme’.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Frage: Welcher Anteil der Gesamtkosten entfällt auf den Vertrieb?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b) Laufende Summe: Zeilen: Datum (gruppiert nach Monat). Werte: Summe von Kosten_EUR → Werte anzeigen als → 'Laufende Summe in' → Datum.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Frage: Ab welchem Monat sind kumuliert mehr als 50% der Jahreskosten erreicht?</a:t>
          </a:r>
        </a:p>
      </xdr:txBody>
    </xdr:sp>
    <xdr:clientData/>
  </xdr:twoCellAnchor>
  <xdr:twoCellAnchor>
    <xdr:from>
      <xdr:col>0</xdr:col>
      <xdr:colOff>362468</xdr:colOff>
      <xdr:row>50</xdr:row>
      <xdr:rowOff>128837</xdr:rowOff>
    </xdr:from>
    <xdr:to>
      <xdr:col>9</xdr:col>
      <xdr:colOff>635205</xdr:colOff>
      <xdr:row>75</xdr:row>
      <xdr:rowOff>68792</xdr:rowOff>
    </xdr:to>
    <xdr:graphicFrame>
      <xdr:nvGraphicFramePr>
        <xdr:cNvPr id="18" name="2D-Balkendiagramm"/>
        <xdr:cNvGraphicFramePr/>
      </xdr:nvGraphicFramePr>
      <xdr:xfrm>
        <a:off x="362468" y="8383837"/>
        <a:ext cx="7130738" cy="406745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107</xdr:row>
      <xdr:rowOff>78113</xdr:rowOff>
    </xdr:from>
    <xdr:to>
      <xdr:col>7</xdr:col>
      <xdr:colOff>176948</xdr:colOff>
      <xdr:row>122</xdr:row>
      <xdr:rowOff>36877</xdr:rowOff>
    </xdr:to>
    <xdr:sp>
      <xdr:nvSpPr>
        <xdr:cNvPr id="20" name="Füge einen Slicer für 'Abteilung' ein (PivotTable-Analyse → Slicer einfügen) und eine Zeitachse für 'Datum' (→ Zeitachse einfügen, Monate).…"/>
        <xdr:cNvSpPr txBox="1"/>
      </xdr:nvSpPr>
      <xdr:spPr>
        <a:xfrm>
          <a:off x="-19050" y="17743813"/>
          <a:ext cx="5510949" cy="243526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8" tIns="45718" rIns="45718" bIns="45718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Füge einen Slicer für 'Abteilung' ein (PivotTable-Analyse → Slicer einfügen) und eine Zeitachse für 'Datum' (→ Zeitachse einfügen, Monate).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 Filtere auf eine einzelne Abteilung und einen Quartalszeitraum gleichzeitig.</a:t>
          </a: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endParaRPr b="0" baseline="0" cap="none" i="0" spc="0" strike="noStrike" sz="1400" u="none">
            <a:solidFill>
              <a:srgbClr val="000000"/>
            </a:solidFill>
            <a:uFillTx/>
            <a:latin typeface="Arial"/>
            <a:ea typeface="Arial"/>
            <a:cs typeface="Arial"/>
            <a:sym typeface="Arial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defRPr>
          </a:pPr>
          <a:r>
            <a:rPr b="0" baseline="0" cap="none" i="0" spc="0" strike="noStrike" sz="1400" u="none">
              <a:solidFill>
                <a:srgbClr val="000000"/>
              </a:solidFill>
              <a:uFillTx/>
              <a:latin typeface="Arial"/>
              <a:ea typeface="Arial"/>
              <a:cs typeface="Arial"/>
              <a:sym typeface="Arial"/>
            </a:rPr>
            <a:t>Optional: Erstelle eine zweite PivotTable aus derselben Datenquelle und verbinde sie über 'Berichtsverbindungen' mit demselben Slicer, sodass beide PivotTables synchron filtern.</a:t>
          </a:r>
        </a:p>
      </xdr:txBody>
    </xdr:sp>
    <xdr:clientData/>
  </xdr:twoCellAnchor>
  <xdr:twoCellAnchor>
    <xdr:from>
      <xdr:col>0</xdr:col>
      <xdr:colOff>413333</xdr:colOff>
      <xdr:row>126</xdr:row>
      <xdr:rowOff>472</xdr:rowOff>
    </xdr:from>
    <xdr:to>
      <xdr:col>9</xdr:col>
      <xdr:colOff>723811</xdr:colOff>
      <xdr:row>152</xdr:row>
      <xdr:rowOff>133267</xdr:rowOff>
    </xdr:to>
    <xdr:graphicFrame>
      <xdr:nvGraphicFramePr>
        <xdr:cNvPr id="21" name="2D-Balkendiagramm"/>
        <xdr:cNvGraphicFramePr/>
      </xdr:nvGraphicFramePr>
      <xdr:xfrm>
        <a:off x="413333" y="20803072"/>
        <a:ext cx="7168479" cy="4425396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</Relationships>
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</Relationships>
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</Relationships>
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</Relationships>

</file>

<file path=xl/pivotCache/_rels/pivotCacheDefinition6.xml.rels><?xml version="1.0" encoding="UTF-8"?>
<Relationships xmlns="http://schemas.openxmlformats.org/package/2006/relationships"><Relationship Id="rId1" Type="http://schemas.openxmlformats.org/officeDocument/2006/relationships/pivotCacheRecords" Target="pivotCacheRecords6.xml"/></Relationships>

</file>

<file path=xl/pivotCache/_rels/pivotCacheDefinition7.xml.rels><?xml version="1.0" encoding="UTF-8"?>
<Relationships xmlns="http://schemas.openxmlformats.org/package/2006/relationships"><Relationship Id="rId1" Type="http://schemas.openxmlformats.org/officeDocument/2006/relationships/pivotCacheRecords" Target="pivotCacheRecords7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399" createdVersion="7">
  <cacheSource type="worksheet">
    <worksheetSource ref="A1:I400" sheet="Rohdaten"/>
  </cacheSource>
  <cacheFields count="9">
    <cacheField name="VorgangsID" numFmtId="0">
      <sharedItems containsNonDate="0" count="399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</sharedItems>
    </cacheField>
    <cacheField name="Datum" numFmtId="0">
      <sharedItems containsSemiMixedTypes="0" containsNonDate="0" containsDate="1" containsString="0" minDate="2025-01-01T00:00:00" maxDate="2025-12-31T00:00:00" count="229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</sharedItems>
    </cacheField>
    <cacheField name="Abteilung" numFmtId="0">
      <sharedItems containsNonDate="0" count="5">
        <s v="Buchhaltung"/>
        <s v="IT-Support"/>
        <s v="Vertrieb"/>
        <s v="Service"/>
        <s v="Einkauf"/>
      </sharedItems>
    </cacheField>
    <cacheField name="Bearbeiter" numFmtId="0">
      <sharedItems containsNonDate="0" count="11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</sharedItems>
    </cacheField>
    <cacheField name="Vorgangstyp" numFmtId="0">
      <sharedItems containsNonDate="0" count="12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</sharedItems>
    </cacheField>
    <cacheField name="Bearbeitungsdauer_Min" numFmtId="0">
      <sharedItems containsSemiMixedTypes="0" containsNonDate="0" containsString="0" containsNumber="1" containsInteger="1" minValue="5" maxValue="93" count="68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</sharedItems>
    </cacheField>
    <cacheField name="Kosten_EUR" numFmtId="0">
      <sharedItems containsSemiMixedTypes="0" containsNonDate="0" containsString="0" containsNumber="1" containsInteger="1" minValue="5.47" maxValue="191.13" count="393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</sharedItems>
    </cacheField>
    <cacheField name="SLA_Status" numFmtId="0">
      <sharedItems containsNonDate="0" count="2">
        <s v="Eingehalten"/>
        <s v="Verletzt"/>
      </sharedItems>
    </cacheField>
    <cacheField name=" " numFmtId="0">
      <sharedItems containsNonDate="0" containsString="0" containsBlank="1" count="1"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2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399" createdVersion="7">
  <cacheSource type="worksheet">
    <worksheetSource ref="A1:I400" sheet="Rohdaten"/>
  </cacheSource>
  <cacheFields count="9">
    <cacheField name="VorgangsID" numFmtId="0">
      <sharedItems containsNonDate="0" count="399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</sharedItems>
    </cacheField>
    <cacheField name="Datum" numFmtId="0">
      <sharedItems containsSemiMixedTypes="0" containsNonDate="0" containsDate="1" containsString="0" minDate="2025-01-01T00:00:00" maxDate="2025-12-31T00:00:00" count="229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</sharedItems>
      <fieldGroup base="1">
        <rangePr startDate="2025-01-01T00:00:00" endDate="2025-12-31T00:00:00" groupBy="months"/>
        <groupItems count="14">
          <s v="&lt;01/01/2025"/>
          <s v="Dez."/>
          <s v="Jan."/>
          <s v="Feb."/>
          <s v="März"/>
          <s v="Apr."/>
          <s v="Mai"/>
          <s v="Juni"/>
          <s v="Juli"/>
          <s v="Aug."/>
          <s v="Sept."/>
          <s v="Okt."/>
          <s v="Nov."/>
          <s v="&gt;12/31/2025"/>
        </groupItems>
      </fieldGroup>
    </cacheField>
    <cacheField name="Abteilung" numFmtId="0">
      <sharedItems containsNonDate="0" count="5">
        <s v="Buchhaltung"/>
        <s v="IT-Support"/>
        <s v="Vertrieb"/>
        <s v="Service"/>
        <s v="Einkauf"/>
      </sharedItems>
    </cacheField>
    <cacheField name="Bearbeiter" numFmtId="0">
      <sharedItems containsNonDate="0" count="11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</sharedItems>
    </cacheField>
    <cacheField name="Vorgangstyp" numFmtId="0">
      <sharedItems containsNonDate="0" count="12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</sharedItems>
    </cacheField>
    <cacheField name="Bearbeitungsdauer_Min" numFmtId="0">
      <sharedItems containsSemiMixedTypes="0" containsNonDate="0" containsString="0" containsNumber="1" containsInteger="1" minValue="5" maxValue="93" count="68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</sharedItems>
    </cacheField>
    <cacheField name="Kosten_EUR" numFmtId="0">
      <sharedItems containsSemiMixedTypes="0" containsNonDate="0" containsString="0" containsNumber="1" containsInteger="1" minValue="5.47" maxValue="191.13" count="393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</sharedItems>
    </cacheField>
    <cacheField name="SLA_Status" numFmtId="0">
      <sharedItems containsNonDate="0" count="2">
        <s v="Eingehalten"/>
        <s v="Verletzt"/>
      </sharedItems>
    </cacheField>
    <cacheField name=" " numFmtId="0">
      <sharedItems containsNonDate="0" containsString="0" containsBlank="1" count="1"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3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404" createdVersion="7">
  <cacheSource type="worksheet">
    <worksheetSource ref="A1:K405" sheet="Rohdaten-1"/>
  </cacheSource>
  <cacheFields count="11">
    <cacheField name="VorgangsID" numFmtId="0">
      <sharedItems containsNonDate="0" longText="1" count="404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  <s v="GANZZAHL(F2/20)+1&#10;GANZZAHL rundet das Ergebnis auf die nächstkleinere ganze Zahl ab. Anschließend wird 1 addiert, weil WAHL seine Auswahlmöglichkeiten ab Position 1 nummeriert.&#10;Für den Wert 47:"/>
        <s v="ANZZAHL(2,35)+1=3"/>
        <s v="Das bedeutet: Es wird die dritte Kategorie ausgewählt.&#10;Schritt 3: MIN(6;...)&#10;excel&#10;MIN(6;GANZZAHL(F2/20)+1)&#10;MIN begrenzt die berechnete Kategorienummer auf maximal 6, da es sechs Intervalle gibt.&#10;Beispiel: Für F2 = 150 ergibt sich zunächst die Kategorienummer 8. MIN reduziert sie auf 6. Dadurch wird kein Fehler durch eine zu hohe Kategorienummer verursacht.&#10;Schritt 4: WAHL(...)&#10;excel&#10;WAHL(Nummer;&quot;0–20&quot;;&quot;20–40&quot;;&quot;40–60&quot;;&quot;60–80&quot;;&quot;80–100&quot;;&quot;100–120&quot;)&#10;WAHL gibt den Text zurück, der zur berechneten Nummer gehört:&#10;1 → 0–20 &#10;2 → 20–40 &#10;3 → 40–60 &#10;4 → 60–80 &#10;5 → 80–100 &#10;6 → 100–120 &#10;Für F2 = 47 ist die Nummer 3. Das Ergebnis lautet daher 40–60."/>
        <s v="Wert in F2&#10;Berechnete Kategori&#10;Ergebnis&#10;12&#10;1&#10;0–20&#10;"/>
        <s v="3. Warum ist diese Formel praktisch?&#10;Automatisch: Jeder Zahlenwert wird einem Intervall zugeordnet. &#10;Einheitlich: Die Intervalle sind jeweils 20 Einheiten breit. &#10;Kompakt: Du musst keine einzelnen Grenzwerte mit mehreren Bedingungen prüfen. &#10;Begrenzt: Werte ab 120 landen in der letzten Kategorie. &#10;Wichtig: Die Formel ist für nicht negative Zahlen gedacht. Werte ab 120 werden immer als 100–120 ausgegeben. Wenn du Werte über 120 separat behandeln möchtest, müsste die Formel angepasst werden."/>
      </sharedItems>
    </cacheField>
    <cacheField name="Datum" numFmtId="0">
      <sharedItems containsNonDate="0" containsDate="1" containsString="0" containsBlank="1" minDate="2025-01-01T00:00:00" maxDate="2025-12-31T00:00:00" count="230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  <m/>
      </sharedItems>
    </cacheField>
    <cacheField name="Abteilung" numFmtId="0">
      <sharedItems containsNonDate="0" containsBlank="1" count="6">
        <s v="Buchhaltung"/>
        <s v="IT-Support"/>
        <s v="Vertrieb"/>
        <s v="Service"/>
        <s v="Einkauf"/>
        <m/>
      </sharedItems>
    </cacheField>
    <cacheField name="Bearbeiter" numFmtId="0">
      <sharedItems containsNonDate="0" containsBlank="1" count="12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  <m/>
      </sharedItems>
    </cacheField>
    <cacheField name="Vorgangstyp" numFmtId="0">
      <sharedItems containsNonDate="0" containsBlank="1" count="13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  <m/>
      </sharedItems>
    </cacheField>
    <cacheField name="Bearbeitungsdauer_Min" numFmtId="0">
      <sharedItems containsNonDate="0" containsString="0" containsBlank="1" containsNumber="1" containsInteger="1" minValue="5" maxValue="93" count="69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  <m/>
      </sharedItems>
    </cacheField>
    <cacheField name="Kosten_EUR" numFmtId="0">
      <sharedItems containsNonDate="0" containsString="0" containsBlank="1" containsNumber="1" containsInteger="1" minValue="5.47" maxValue="191.13" count="394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  <m/>
      </sharedItems>
    </cacheField>
    <cacheField name="SLA_Status" numFmtId="0">
      <sharedItems containsNonDate="0" containsBlank="1" count="3">
        <s v="Eingehalten"/>
        <s v="Verletzt"/>
        <m/>
      </sharedItems>
    </cacheField>
    <cacheField name="KOSTEN PRO MINUTE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Bearbeitungsdauer pro Interval1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nterval2" numFmtId="0">
      <sharedItems containsNonDate="0" containsBlank="1" count="2">
        <b v="0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4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404" createdVersion="7">
  <cacheSource type="worksheet">
    <worksheetSource ref="A1:L405" sheet="Rohdaten-1"/>
  </cacheSource>
  <cacheFields count="12">
    <cacheField name="VorgangsID" numFmtId="0">
      <sharedItems containsNonDate="0" longText="1" count="404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  <s v="GANZZAHL(F2/20)+1&#10;GANZZAHL rundet das Ergebnis auf die nächstkleinere ganze Zahl ab. Anschließend wird 1 addiert, weil WAHL seine Auswahlmöglichkeiten ab Position 1 nummeriert.&#10;Für den Wert 47:"/>
        <s v="ANZZAHL(2,35)+1=3"/>
        <s v="Das bedeutet: Es wird die dritte Kategorie ausgewählt.&#10;Schritt 3: MIN(6;...)&#10;excel&#10;MIN(6;GANZZAHL(F2/20)+1)&#10;MIN begrenzt die berechnete Kategorienummer auf maximal 6, da es sechs Intervalle gibt.&#10;Beispiel: Für F2 = 150 ergibt sich zunächst die Kategorienummer 8. MIN reduziert sie auf 6. Dadurch wird kein Fehler durch eine zu hohe Kategorienummer verursacht.&#10;Schritt 4: WAHL(...)&#10;excel&#10;WAHL(Nummer;&quot;0–20&quot;;&quot;20–40&quot;;&quot;40–60&quot;;&quot;60–80&quot;;&quot;80–100&quot;;&quot;100–120&quot;)&#10;WAHL gibt den Text zurück, der zur berechneten Nummer gehört:&#10;1 → 0–20 &#10;2 → 20–40 &#10;3 → 40–60 &#10;4 → 60–80 &#10;5 → 80–100 &#10;6 → 100–120 &#10;Für F2 = 47 ist die Nummer 3. Das Ergebnis lautet daher 40–60."/>
        <s v="Wert in F2&#10;Berechnete Kategori&#10;Ergebnis&#10;12&#10;1&#10;0–20&#10;"/>
        <s v="3. Warum ist diese Formel praktisch?&#10;Automatisch: Jeder Zahlenwert wird einem Intervall zugeordnet. &#10;Einheitlich: Die Intervalle sind jeweils 20 Einheiten breit. &#10;Kompakt: Du musst keine einzelnen Grenzwerte mit mehreren Bedingungen prüfen. &#10;Begrenzt: Werte ab 120 landen in der letzten Kategorie. &#10;Wichtig: Die Formel ist für nicht negative Zahlen gedacht. Werte ab 120 werden immer als 100–120 ausgegeben. Wenn du Werte über 120 separat behandeln möchtest, müsste die Formel angepasst werden."/>
      </sharedItems>
    </cacheField>
    <cacheField name="Datum" numFmtId="0">
      <sharedItems containsNonDate="0" containsDate="1" containsString="0" containsBlank="1" minDate="2025-01-01T00:00:00" maxDate="2025-12-31T00:00:00" count="230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  <m/>
      </sharedItems>
    </cacheField>
    <cacheField name="Abteilung" numFmtId="0">
      <sharedItems containsNonDate="0" containsBlank="1" count="6">
        <s v="Buchhaltung"/>
        <s v="IT-Support"/>
        <s v="Vertrieb"/>
        <s v="Service"/>
        <s v="Einkauf"/>
        <m/>
      </sharedItems>
    </cacheField>
    <cacheField name="Bearbeiter" numFmtId="0">
      <sharedItems containsNonDate="0" containsBlank="1" count="12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  <m/>
      </sharedItems>
    </cacheField>
    <cacheField name="Vorgangstyp" numFmtId="0">
      <sharedItems containsNonDate="0" containsBlank="1" count="13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  <m/>
      </sharedItems>
    </cacheField>
    <cacheField name="Bearbeitungsdauer_Min" numFmtId="0">
      <sharedItems containsNonDate="0" containsString="0" containsBlank="1" containsNumber="1" containsInteger="1" minValue="5" maxValue="93" count="69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  <m/>
      </sharedItems>
    </cacheField>
    <cacheField name="Kosten_EUR" numFmtId="0">
      <sharedItems containsNonDate="0" containsString="0" containsBlank="1" containsNumber="1" containsInteger="1" minValue="5.47" maxValue="191.13" count="394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  <m/>
      </sharedItems>
    </cacheField>
    <cacheField name="SLA_Status" numFmtId="0">
      <sharedItems containsNonDate="0" containsBlank="1" count="3">
        <s v="Eingehalten"/>
        <s v="Verletzt"/>
        <m/>
      </sharedItems>
    </cacheField>
    <cacheField name="KOSTEN PRO MINUTE" numFmtId="0">
      <sharedItems containsNonDate="0" containsString="0" containsBlank="1" containsNumber="1" containsInteger="1" minValue="0.995" maxValue="2.05516129032258" count="393">
        <n v="1.46178571428571"/>
        <n v="1.1053125"/>
        <n v="1.43190476190476"/>
        <n v="1.24073170731707"/>
        <n v="1.63636363636364"/>
        <n v="1.44842105263158"/>
        <n v="1.60181818181818"/>
        <n v="1.14592592592593"/>
        <n v="1.58821428571429"/>
        <n v="1.73698113207547"/>
        <n v="1.73952380952381"/>
        <n v="1.14192307692308"/>
        <n v="1.40084745762712"/>
        <n v="1.24291666666667"/>
        <n v="1.0588"/>
        <n v="1.2545"/>
        <n v="1.50552631578947"/>
        <n v="2.022"/>
        <n v="1.36033333333333"/>
        <n v="1.51444444444444"/>
        <n v="1.81052631578947"/>
        <n v="1.53309523809524"/>
        <n v="1.16916666666667"/>
        <n v="1.37780487804878"/>
        <n v="1.01862068965517"/>
        <n v="1.23142857142857"/>
        <n v="1.7847619047619"/>
        <n v="1.34181818181818"/>
        <n v="1.69258064516129"/>
        <n v="1.40428571428571"/>
        <n v="1.185"/>
        <n v="1.20142857142857"/>
        <n v="1.09473684210526"/>
        <n v="1.24"/>
        <n v="1.4947619047619"/>
        <n v="1.57212121212121"/>
        <n v="1.861875"/>
        <n v="1.03090909090909"/>
        <n v="1.376"/>
        <n v="1.64869565217391"/>
        <n v="1.42833333333333"/>
        <n v="1.07"/>
        <n v="1.74641025641026"/>
        <n v="1.707"/>
        <n v="1.5284"/>
        <n v="1.60119047619048"/>
        <n v="1.5430612244898"/>
        <n v="1.7354347826087"/>
        <n v="1.08111111111111"/>
        <n v="1.7052"/>
        <n v="1.52833333333333"/>
        <n v="1.44552631578947"/>
        <n v="1.60444444444444"/>
        <n v="1.18631578947368"/>
        <n v="1.119375"/>
        <n v="1.35185185185185"/>
        <n v="1.69724137931034"/>
        <n v="1.47363636363636"/>
        <n v="1.13740740740741"/>
        <n v="1.35545454545455"/>
        <n v="1.96471264367816"/>
        <n v="1.2828"/>
        <n v="1.59875"/>
        <n v="1.175"/>
        <n v="1.38617647058824"/>
        <n v="1.16"/>
        <n v="1.36444444444444"/>
        <n v="1.46551724137931"/>
        <n v="1.72304347826087"/>
        <n v="1.82571428571429"/>
        <n v="1.24818181818182"/>
        <n v="1.20833333333333"/>
        <n v="1.2784"/>
        <n v="1.51628571428571"/>
        <n v="1.12333333333333"/>
        <n v="1.09736842105263"/>
        <n v="1.51133333333333"/>
        <n v="1.48542857142857"/>
        <n v="1.41088235294118"/>
        <n v="1.15823529411765"/>
        <n v="1.378125"/>
        <n v="1.53739130434783"/>
        <n v="1.37816326530612"/>
        <n v="1.76161290322581"/>
        <n v="1.09923076923077"/>
        <n v="1.61264705882353"/>
        <n v="1.6190625"/>
        <n v="1.06666666666667"/>
        <n v="1.6951724137931"/>
        <n v="1.69131578947368"/>
        <n v="1.45021739130435"/>
        <n v="0.996666666666667"/>
        <n v="1.82764705882353"/>
        <n v="1.7795"/>
        <n v="1.48166666666667"/>
        <n v="0.998518518518519"/>
        <n v="1.55666666666667"/>
        <n v="1.79923076923077"/>
        <n v="1.778"/>
        <n v="1.46225"/>
        <n v="1.104375"/>
        <n v="1.11777777777778"/>
        <n v="1.71142857142857"/>
        <n v="1.20375"/>
        <n v="1.61285714285714"/>
        <n v="1.61894736842105"/>
        <n v="1.22714285714286"/>
        <n v="1.54107142857143"/>
        <n v="1.56086956521739"/>
        <n v="1.37615384615385"/>
        <n v="1.74405405405405"/>
        <n v="1.622"/>
        <n v="1.476"/>
        <n v="1.37774193548387"/>
        <n v="1.03083333333333"/>
        <n v="1.49884615384615"/>
        <n v="1.0835"/>
        <n v="1.64632653061224"/>
        <n v="1.52153846153846"/>
        <n v="1.45333333333333"/>
        <n v="1.88723076923077"/>
        <n v="1.29146341463415"/>
        <n v="1.71916666666667"/>
        <n v="1.22"/>
        <n v="1.28060606060606"/>
        <n v="1.369"/>
        <n v="1.40261904761905"/>
        <n v="1.80666666666667"/>
        <n v="1.59974358974359"/>
        <n v="1.94771428571429"/>
        <n v="1.66947368421053"/>
        <n v="1.458"/>
        <n v="1.03583333333333"/>
        <n v="1.36489361702128"/>
        <n v="1.05566666666667"/>
        <n v="1.10416666666667"/>
        <n v="1.234"/>
        <n v="1.55370967741935"/>
        <n v="1.38434782608696"/>
        <n v="1.6047619047619"/>
        <n v="1.62577777777778"/>
        <n v="1.33521739130435"/>
        <n v="1.40666666666667"/>
        <n v="1.668125"/>
        <n v="1.45454545454545"/>
        <n v="1.21928571428571"/>
        <n v="1.63"/>
        <n v="1.21378378378378"/>
        <n v="1.26058823529412"/>
        <n v="1.74733333333333"/>
        <n v="1.15911111111111"/>
        <n v="1.61421052631579"/>
        <n v="1.19363636363636"/>
        <n v="1.19388888888889"/>
        <n v="1.045"/>
        <n v="1.44"/>
        <n v="1.640625"/>
        <n v="1.216"/>
        <n v="1.5156"/>
        <n v="1.88821428571429"/>
        <n v="1.55108108108108"/>
        <n v="1.29"/>
        <n v="1.71857142857143"/>
        <n v="1.80384615384615"/>
        <n v="1.15346153846154"/>
        <n v="1.25774193548387"/>
        <n v="1.46862068965517"/>
        <n v="1.09333333333333"/>
        <n v="1.26190476190476"/>
        <n v="1.0841935483871"/>
        <n v="1.34333333333333"/>
        <n v="1.68"/>
        <n v="1.63535714285714"/>
        <n v="1.49285714285714"/>
        <n v="1.716"/>
        <n v="1.35142857142857"/>
        <n v="1.54681818181818"/>
        <n v="1.70153846153846"/>
        <n v="1.68466666666667"/>
        <n v="1.4845652173913"/>
        <n v="1.18473684210526"/>
        <n v="1.21774193548387"/>
        <n v="1.05625"/>
        <n v="1.05884615384615"/>
        <n v="1.43857142857143"/>
        <n v="1.37947368421053"/>
        <n v="1.63771428571429"/>
        <n v="1.90876923076923"/>
        <n v="1.552"/>
        <n v="1.09111111111111"/>
        <n v="1.27842105263158"/>
        <n v="1.25028571428571"/>
        <n v="1.23655172413793"/>
        <n v="1.64727272727273"/>
        <n v="1.72185185185185"/>
        <n v="1.34967741935484"/>
        <n v="1.40818181818182"/>
        <n v="1.25318181818182"/>
        <n v="1.38702702702703"/>
        <n v="1.62473684210526"/>
        <n v="1.96704225352113"/>
        <n v="2.03698412698413"/>
        <n v="1.63093023255814"/>
        <n v="1.87770833333333"/>
        <n v="1.3628"/>
        <n v="1.71780487804878"/>
        <n v="1.1684"/>
        <n v="1.17566666666667"/>
        <n v="1.34229166666667"/>
        <n v="1.60592592592593"/>
        <n v="1.37628571428571"/>
        <n v="1.13638888888889"/>
        <n v="1.03230769230769"/>
        <n v="1.59266666666667"/>
        <n v="1.69483870967742"/>
        <n v="1.14421052631579"/>
        <n v="1.01179487179487"/>
        <n v="0.995"/>
        <n v="1.8248"/>
        <n v="1.87416666666667"/>
        <n v="1.82942857142857"/>
        <n v="1.3037037037037"/>
        <n v="1.65222222222222"/>
        <n v="1.98066666666667"/>
        <n v="1.558"/>
        <n v="1.61023255813953"/>
        <n v="1.29833333333333"/>
        <n v="1.21631578947368"/>
        <n v="1.06352941176471"/>
        <n v="1.01826086956522"/>
        <n v="1.35521739130435"/>
        <n v="1.61851851851852"/>
        <n v="1.25461538461538"/>
        <n v="1.77105263157895"/>
        <n v="1.094"/>
        <n v="1.09882352941176"/>
        <n v="1.46795454545455"/>
        <n v="1.1272972972973"/>
        <n v="1.76666666666667"/>
        <n v="1.43171428571429"/>
        <n v="1.48571428571429"/>
        <n v="1.46735294117647"/>
        <n v="1.62875"/>
        <n v="1.35263157894737"/>
        <n v="1.13586206896552"/>
        <n v="1.295"/>
        <n v="1.10227272727273"/>
        <n v="1.2295"/>
        <n v="1.1415625"/>
        <n v="1.37886363636364"/>
        <n v="1.24333333333333"/>
        <n v="1.14607142857143"/>
        <n v="1.03642857142857"/>
        <n v="1.01777777777778"/>
        <n v="1.21"/>
        <n v="1.60965517241379"/>
        <n v="1.14444444444444"/>
        <n v="1.5595652173913"/>
        <n v="1.40911111111111"/>
        <n v="1.62222222222222"/>
        <n v="1.66694444444444"/>
        <n v="1.7491935483871"/>
        <n v="1.70538461538462"/>
        <n v="1.43027777777778"/>
        <n v="1.23163265306122"/>
        <n v="1.45"/>
        <n v="1.21181818181818"/>
        <n v="1.6012"/>
        <n v="1.13"/>
        <n v="0.9952173913043481"/>
        <n v="1.67657894736842"/>
        <n v="1.51129032258065"/>
        <n v="1.4778"/>
        <n v="1.61923076923077"/>
        <n v="1.56767441860465"/>
        <n v="1.6124"/>
        <n v="1.63360655737705"/>
        <n v="1.56481481481481"/>
        <n v="1.035"/>
        <n v="1.65608695652174"/>
        <n v="1.64263157894737"/>
        <n v="1.76681818181818"/>
        <n v="1.71775"/>
        <n v="1.13727272727273"/>
        <n v="1.63337837837838"/>
        <n v="1.71777777777778"/>
        <n v="1.57909090909091"/>
        <n v="1.16964285714286"/>
        <n v="2.02628571428571"/>
        <n v="1.17588235294118"/>
        <n v="1.17684210526316"/>
        <n v="1.52391304347826"/>
        <n v="1.63136363636364"/>
        <n v="1.57"/>
        <n v="1.22047619047619"/>
        <n v="1.243"/>
        <n v="1.17045454545455"/>
        <n v="1.56875"/>
        <n v="1.08861111111111"/>
        <n v="1.45866666666667"/>
        <n v="1.47782608695652"/>
        <n v="1.466"/>
        <n v="1.33633333333333"/>
        <n v="1.32655172413793"/>
        <n v="1.65685714285714"/>
        <n v="1.745"/>
        <n v="1.63916666666667"/>
        <n v="1.29615384615385"/>
        <n v="1.51837837837838"/>
        <n v="1.09464285714286"/>
        <n v="1.22083333333333"/>
        <n v="1.18"/>
        <n v="1.61185185185185"/>
        <n v="1.08913043478261"/>
        <n v="1.19333333333333"/>
        <n v="1.6315625"/>
        <n v="1.67387755102041"/>
        <n v="1.96388235294118"/>
        <n v="1.00888888888889"/>
        <n v="1.2152380952381"/>
        <n v="1.8696"/>
        <n v="1.36697674418605"/>
        <n v="1.683125"/>
        <n v="1.65079365079365"/>
        <n v="1.43783333333333"/>
        <n v="1.396"/>
        <n v="1.4075"/>
        <n v="1.33"/>
        <n v="1.65285714285714"/>
        <n v="1.51882352941176"/>
        <n v="1.81928571428571"/>
        <n v="1.21083333333333"/>
        <n v="1.22645161290323"/>
        <n v="1.49717948717949"/>
        <n v="1.25"/>
        <n v="1.66891891891892"/>
        <n v="1.35733333333333"/>
        <n v="1.64"/>
        <n v="1.2"/>
        <n v="1.76454545454545"/>
        <n v="2.05516129032258"/>
        <n v="1.37107142857143"/>
        <n v="1.26432432432432"/>
        <n v="1.01571428571429"/>
        <n v="1.973"/>
        <n v="1.92456140350877"/>
        <n v="1.56961538461538"/>
        <n v="1.36625"/>
        <n v="1.01611111111111"/>
        <n v="1.91645161290323"/>
        <n v="1.5241935483871"/>
        <n v="1.2632"/>
        <n v="1.1532"/>
        <n v="1.38944444444444"/>
        <n v="1.1045"/>
        <n v="1.70569620253165"/>
        <n v="1.38681818181818"/>
        <n v="1.68849056603774"/>
        <n v="1.524375"/>
        <n v="1.60046875"/>
        <n v="1.71508474576271"/>
        <n v="1.36928571428571"/>
        <n v="1.07258064516129"/>
        <n v="1.55333333333333"/>
        <n v="1.09904761904762"/>
        <n v="2.0125"/>
        <n v="1.41354838709677"/>
        <n v="1.2075"/>
        <n v="2.00181818181818"/>
        <n v="1.58660714285714"/>
        <n v="1.57615384615385"/>
        <n v="1.16763157894737"/>
        <n v="1.19392857142857"/>
        <n v="1.17428571428571"/>
        <n v="1.89289473684211"/>
        <n v="1.53166666666667"/>
        <n v="1.39"/>
        <n v="1.70666666666667"/>
        <n v="1.758125"/>
        <n v="1.006"/>
        <n v="1.1547619047619"/>
        <n v="1.19411764705882"/>
        <n v="1.635"/>
        <n v="1.40227272727273"/>
        <n v="1.93063829787234"/>
        <n v="1.72"/>
        <n v="1.25066666666667"/>
        <n v="1.77263157894737"/>
        <n v="1.0025"/>
        <n v="1.53949152542373"/>
        <n v="1.85657894736842"/>
        <n v="1.19042553191489"/>
        <m/>
      </sharedItems>
    </cacheField>
    <cacheField name="Bearbeitungsdauer pro Interval1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nterval2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st Spalte F leer?" numFmtId="0">
      <sharedItems containsNonDate="0" containsBlank="1" count="2">
        <b v="0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5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404" createdVersion="7">
  <cacheSource type="worksheet">
    <worksheetSource ref="A1:L405" sheet="Rohdaten-1"/>
  </cacheSource>
  <cacheFields count="12">
    <cacheField name="VorgangsID" numFmtId="0">
      <sharedItems containsNonDate="0" longText="1" count="404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  <s v="GANZZAHL(F2/20)+1&#10;GANZZAHL rundet das Ergebnis auf die nächstkleinere ganze Zahl ab. Anschließend wird 1 addiert, weil WAHL seine Auswahlmöglichkeiten ab Position 1 nummeriert.&#10;Für den Wert 47:"/>
        <s v="ANZZAHL(2,35)+1=3"/>
        <s v="Das bedeutet: Es wird die dritte Kategorie ausgewählt.&#10;Schritt 3: MIN(6;...)&#10;excel&#10;MIN(6;GANZZAHL(F2/20)+1)&#10;MIN begrenzt die berechnete Kategorienummer auf maximal 6, da es sechs Intervalle gibt.&#10;Beispiel: Für F2 = 150 ergibt sich zunächst die Kategorienummer 8. MIN reduziert sie auf 6. Dadurch wird kein Fehler durch eine zu hohe Kategorienummer verursacht.&#10;Schritt 4: WAHL(...)&#10;excel&#10;WAHL(Nummer;&quot;0–20&quot;;&quot;20–40&quot;;&quot;40–60&quot;;&quot;60–80&quot;;&quot;80–100&quot;;&quot;100–120&quot;)&#10;WAHL gibt den Text zurück, der zur berechneten Nummer gehört:&#10;1 → 0–20 &#10;2 → 20–40 &#10;3 → 40–60 &#10;4 → 60–80 &#10;5 → 80–100 &#10;6 → 100–120 &#10;Für F2 = 47 ist die Nummer 3. Das Ergebnis lautet daher 40–60."/>
        <s v="Wert in F2&#10;Berechnete Kategori&#10;Ergebnis&#10;12&#10;1&#10;0–20&#10;"/>
        <s v="3. Warum ist diese Formel praktisch?&#10;Automatisch: Jeder Zahlenwert wird einem Intervall zugeordnet. &#10;Einheitlich: Die Intervalle sind jeweils 20 Einheiten breit. &#10;Kompakt: Du musst keine einzelnen Grenzwerte mit mehreren Bedingungen prüfen. &#10;Begrenzt: Werte ab 120 landen in der letzten Kategorie. &#10;Wichtig: Die Formel ist für nicht negative Zahlen gedacht. Werte ab 120 werden immer als 100–120 ausgegeben. Wenn du Werte über 120 separat behandeln möchtest, müsste die Formel angepasst werden."/>
      </sharedItems>
    </cacheField>
    <cacheField name="Datum" numFmtId="0">
      <sharedItems containsNonDate="0" containsDate="1" containsString="0" containsBlank="1" minDate="2025-01-01T00:00:00" maxDate="2025-12-31T00:00:00" count="230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  <m/>
      </sharedItems>
    </cacheField>
    <cacheField name="Abteilung" numFmtId="0">
      <sharedItems containsNonDate="0" containsBlank="1" count="6">
        <s v="Buchhaltung"/>
        <s v="IT-Support"/>
        <s v="Vertrieb"/>
        <s v="Service"/>
        <s v="Einkauf"/>
        <m/>
      </sharedItems>
    </cacheField>
    <cacheField name="Bearbeiter" numFmtId="0">
      <sharedItems containsNonDate="0" containsBlank="1" count="12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  <m/>
      </sharedItems>
    </cacheField>
    <cacheField name="Vorgangstyp" numFmtId="0">
      <sharedItems containsNonDate="0" containsBlank="1" count="13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  <m/>
      </sharedItems>
    </cacheField>
    <cacheField name="Bearbeitungsdauer_Min" numFmtId="0">
      <sharedItems containsNonDate="0" containsString="0" containsBlank="1" containsNumber="1" containsInteger="1" minValue="5" maxValue="93" count="69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  <m/>
      </sharedItems>
    </cacheField>
    <cacheField name="Kosten_EUR" numFmtId="0">
      <sharedItems containsNonDate="0" containsString="0" containsBlank="1" containsNumber="1" containsInteger="1" minValue="5.47" maxValue="191.13" count="394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  <m/>
      </sharedItems>
    </cacheField>
    <cacheField name="SLA_Status" numFmtId="0">
      <sharedItems containsNonDate="0" containsBlank="1" count="3">
        <s v="Eingehalten"/>
        <s v="Verletzt"/>
        <m/>
      </sharedItems>
    </cacheField>
    <cacheField name="KOSTEN PRO MINUTE" numFmtId="0">
      <sharedItems containsNonDate="0" containsString="0" containsBlank="1" containsNumber="1" containsInteger="1" minValue="0.995" maxValue="2.05516129032258" count="393">
        <n v="1.46178571428571"/>
        <n v="1.1053125"/>
        <n v="1.43190476190476"/>
        <n v="1.24073170731707"/>
        <n v="1.63636363636364"/>
        <n v="1.44842105263158"/>
        <n v="1.60181818181818"/>
        <n v="1.14592592592593"/>
        <n v="1.58821428571429"/>
        <n v="1.73698113207547"/>
        <n v="1.73952380952381"/>
        <n v="1.14192307692308"/>
        <n v="1.40084745762712"/>
        <n v="1.24291666666667"/>
        <n v="1.0588"/>
        <n v="1.2545"/>
        <n v="1.50552631578947"/>
        <n v="2.022"/>
        <n v="1.36033333333333"/>
        <n v="1.51444444444444"/>
        <n v="1.81052631578947"/>
        <n v="1.53309523809524"/>
        <n v="1.16916666666667"/>
        <n v="1.37780487804878"/>
        <n v="1.01862068965517"/>
        <n v="1.23142857142857"/>
        <n v="1.7847619047619"/>
        <n v="1.34181818181818"/>
        <n v="1.69258064516129"/>
        <n v="1.40428571428571"/>
        <n v="1.185"/>
        <n v="1.20142857142857"/>
        <n v="1.09473684210526"/>
        <n v="1.24"/>
        <n v="1.4947619047619"/>
        <n v="1.57212121212121"/>
        <n v="1.861875"/>
        <n v="1.03090909090909"/>
        <n v="1.376"/>
        <n v="1.64869565217391"/>
        <n v="1.42833333333333"/>
        <n v="1.07"/>
        <n v="1.74641025641026"/>
        <n v="1.707"/>
        <n v="1.5284"/>
        <n v="1.60119047619048"/>
        <n v="1.5430612244898"/>
        <n v="1.7354347826087"/>
        <n v="1.08111111111111"/>
        <n v="1.7052"/>
        <n v="1.52833333333333"/>
        <n v="1.44552631578947"/>
        <n v="1.60444444444444"/>
        <n v="1.18631578947368"/>
        <n v="1.119375"/>
        <n v="1.35185185185185"/>
        <n v="1.69724137931034"/>
        <n v="1.47363636363636"/>
        <n v="1.13740740740741"/>
        <n v="1.35545454545455"/>
        <n v="1.96471264367816"/>
        <n v="1.2828"/>
        <n v="1.59875"/>
        <n v="1.175"/>
        <n v="1.38617647058824"/>
        <n v="1.16"/>
        <n v="1.36444444444444"/>
        <n v="1.46551724137931"/>
        <n v="1.72304347826087"/>
        <n v="1.82571428571429"/>
        <n v="1.24818181818182"/>
        <n v="1.20833333333333"/>
        <n v="1.2784"/>
        <n v="1.51628571428571"/>
        <n v="1.12333333333333"/>
        <n v="1.09736842105263"/>
        <n v="1.51133333333333"/>
        <n v="1.48542857142857"/>
        <n v="1.41088235294118"/>
        <n v="1.15823529411765"/>
        <n v="1.378125"/>
        <n v="1.53739130434783"/>
        <n v="1.37816326530612"/>
        <n v="1.76161290322581"/>
        <n v="1.09923076923077"/>
        <n v="1.61264705882353"/>
        <n v="1.6190625"/>
        <n v="1.06666666666667"/>
        <n v="1.6951724137931"/>
        <n v="1.69131578947368"/>
        <n v="1.45021739130435"/>
        <n v="0.996666666666667"/>
        <n v="1.82764705882353"/>
        <n v="1.7795"/>
        <n v="1.48166666666667"/>
        <n v="0.998518518518519"/>
        <n v="1.55666666666667"/>
        <n v="1.79923076923077"/>
        <n v="1.778"/>
        <n v="1.46225"/>
        <n v="1.104375"/>
        <n v="1.11777777777778"/>
        <n v="1.71142857142857"/>
        <n v="1.20375"/>
        <n v="1.61285714285714"/>
        <n v="1.61894736842105"/>
        <n v="1.22714285714286"/>
        <n v="1.54107142857143"/>
        <n v="1.56086956521739"/>
        <n v="1.37615384615385"/>
        <n v="1.74405405405405"/>
        <n v="1.622"/>
        <n v="1.476"/>
        <n v="1.37774193548387"/>
        <n v="1.03083333333333"/>
        <n v="1.49884615384615"/>
        <n v="1.0835"/>
        <n v="1.64632653061224"/>
        <n v="1.52153846153846"/>
        <n v="1.45333333333333"/>
        <n v="1.88723076923077"/>
        <n v="1.29146341463415"/>
        <n v="1.71916666666667"/>
        <n v="1.22"/>
        <n v="1.28060606060606"/>
        <n v="1.369"/>
        <n v="1.40261904761905"/>
        <n v="1.80666666666667"/>
        <n v="1.59974358974359"/>
        <n v="1.94771428571429"/>
        <n v="1.66947368421053"/>
        <n v="1.458"/>
        <n v="1.03583333333333"/>
        <n v="1.36489361702128"/>
        <n v="1.05566666666667"/>
        <n v="1.10416666666667"/>
        <n v="1.234"/>
        <n v="1.55370967741935"/>
        <n v="1.38434782608696"/>
        <n v="1.6047619047619"/>
        <n v="1.62577777777778"/>
        <n v="1.33521739130435"/>
        <n v="1.40666666666667"/>
        <n v="1.668125"/>
        <n v="1.45454545454545"/>
        <n v="1.21928571428571"/>
        <n v="1.63"/>
        <n v="1.21378378378378"/>
        <n v="1.26058823529412"/>
        <n v="1.74733333333333"/>
        <n v="1.15911111111111"/>
        <n v="1.61421052631579"/>
        <n v="1.19363636363636"/>
        <n v="1.19388888888889"/>
        <n v="1.045"/>
        <n v="1.44"/>
        <n v="1.640625"/>
        <n v="1.216"/>
        <n v="1.5156"/>
        <n v="1.88821428571429"/>
        <n v="1.55108108108108"/>
        <n v="1.29"/>
        <n v="1.71857142857143"/>
        <n v="1.80384615384615"/>
        <n v="1.15346153846154"/>
        <n v="1.25774193548387"/>
        <n v="1.46862068965517"/>
        <n v="1.09333333333333"/>
        <n v="1.26190476190476"/>
        <n v="1.0841935483871"/>
        <n v="1.34333333333333"/>
        <n v="1.68"/>
        <n v="1.63535714285714"/>
        <n v="1.49285714285714"/>
        <n v="1.716"/>
        <n v="1.35142857142857"/>
        <n v="1.54681818181818"/>
        <n v="1.70153846153846"/>
        <n v="1.68466666666667"/>
        <n v="1.4845652173913"/>
        <n v="1.18473684210526"/>
        <n v="1.21774193548387"/>
        <n v="1.05625"/>
        <n v="1.05884615384615"/>
        <n v="1.43857142857143"/>
        <n v="1.37947368421053"/>
        <n v="1.63771428571429"/>
        <n v="1.90876923076923"/>
        <n v="1.552"/>
        <n v="1.09111111111111"/>
        <n v="1.27842105263158"/>
        <n v="1.25028571428571"/>
        <n v="1.23655172413793"/>
        <n v="1.64727272727273"/>
        <n v="1.72185185185185"/>
        <n v="1.34967741935484"/>
        <n v="1.40818181818182"/>
        <n v="1.25318181818182"/>
        <n v="1.38702702702703"/>
        <n v="1.62473684210526"/>
        <n v="1.96704225352113"/>
        <n v="2.03698412698413"/>
        <n v="1.63093023255814"/>
        <n v="1.87770833333333"/>
        <n v="1.3628"/>
        <n v="1.71780487804878"/>
        <n v="1.1684"/>
        <n v="1.17566666666667"/>
        <n v="1.34229166666667"/>
        <n v="1.60592592592593"/>
        <n v="1.37628571428571"/>
        <n v="1.13638888888889"/>
        <n v="1.03230769230769"/>
        <n v="1.59266666666667"/>
        <n v="1.69483870967742"/>
        <n v="1.14421052631579"/>
        <n v="1.01179487179487"/>
        <n v="0.995"/>
        <n v="1.8248"/>
        <n v="1.87416666666667"/>
        <n v="1.82942857142857"/>
        <n v="1.3037037037037"/>
        <n v="1.65222222222222"/>
        <n v="1.98066666666667"/>
        <n v="1.558"/>
        <n v="1.61023255813953"/>
        <n v="1.29833333333333"/>
        <n v="1.21631578947368"/>
        <n v="1.06352941176471"/>
        <n v="1.01826086956522"/>
        <n v="1.35521739130435"/>
        <n v="1.61851851851852"/>
        <n v="1.25461538461538"/>
        <n v="1.77105263157895"/>
        <n v="1.094"/>
        <n v="1.09882352941176"/>
        <n v="1.46795454545455"/>
        <n v="1.1272972972973"/>
        <n v="1.76666666666667"/>
        <n v="1.43171428571429"/>
        <n v="1.48571428571429"/>
        <n v="1.46735294117647"/>
        <n v="1.62875"/>
        <n v="1.35263157894737"/>
        <n v="1.13586206896552"/>
        <n v="1.295"/>
        <n v="1.10227272727273"/>
        <n v="1.2295"/>
        <n v="1.1415625"/>
        <n v="1.37886363636364"/>
        <n v="1.24333333333333"/>
        <n v="1.14607142857143"/>
        <n v="1.03642857142857"/>
        <n v="1.01777777777778"/>
        <n v="1.21"/>
        <n v="1.60965517241379"/>
        <n v="1.14444444444444"/>
        <n v="1.5595652173913"/>
        <n v="1.40911111111111"/>
        <n v="1.62222222222222"/>
        <n v="1.66694444444444"/>
        <n v="1.7491935483871"/>
        <n v="1.70538461538462"/>
        <n v="1.43027777777778"/>
        <n v="1.23163265306122"/>
        <n v="1.45"/>
        <n v="1.21181818181818"/>
        <n v="1.6012"/>
        <n v="1.13"/>
        <n v="0.9952173913043481"/>
        <n v="1.67657894736842"/>
        <n v="1.51129032258065"/>
        <n v="1.4778"/>
        <n v="1.61923076923077"/>
        <n v="1.56767441860465"/>
        <n v="1.6124"/>
        <n v="1.63360655737705"/>
        <n v="1.56481481481481"/>
        <n v="1.035"/>
        <n v="1.65608695652174"/>
        <n v="1.64263157894737"/>
        <n v="1.76681818181818"/>
        <n v="1.71775"/>
        <n v="1.13727272727273"/>
        <n v="1.63337837837838"/>
        <n v="1.71777777777778"/>
        <n v="1.57909090909091"/>
        <n v="1.16964285714286"/>
        <n v="2.02628571428571"/>
        <n v="1.17588235294118"/>
        <n v="1.17684210526316"/>
        <n v="1.52391304347826"/>
        <n v="1.63136363636364"/>
        <n v="1.57"/>
        <n v="1.22047619047619"/>
        <n v="1.243"/>
        <n v="1.17045454545455"/>
        <n v="1.56875"/>
        <n v="1.08861111111111"/>
        <n v="1.45866666666667"/>
        <n v="1.47782608695652"/>
        <n v="1.466"/>
        <n v="1.33633333333333"/>
        <n v="1.32655172413793"/>
        <n v="1.65685714285714"/>
        <n v="1.745"/>
        <n v="1.63916666666667"/>
        <n v="1.29615384615385"/>
        <n v="1.51837837837838"/>
        <n v="1.09464285714286"/>
        <n v="1.22083333333333"/>
        <n v="1.18"/>
        <n v="1.61185185185185"/>
        <n v="1.08913043478261"/>
        <n v="1.19333333333333"/>
        <n v="1.6315625"/>
        <n v="1.67387755102041"/>
        <n v="1.96388235294118"/>
        <n v="1.00888888888889"/>
        <n v="1.2152380952381"/>
        <n v="1.8696"/>
        <n v="1.36697674418605"/>
        <n v="1.683125"/>
        <n v="1.65079365079365"/>
        <n v="1.43783333333333"/>
        <n v="1.396"/>
        <n v="1.4075"/>
        <n v="1.33"/>
        <n v="1.65285714285714"/>
        <n v="1.51882352941176"/>
        <n v="1.81928571428571"/>
        <n v="1.21083333333333"/>
        <n v="1.22645161290323"/>
        <n v="1.49717948717949"/>
        <n v="1.25"/>
        <n v="1.66891891891892"/>
        <n v="1.35733333333333"/>
        <n v="1.64"/>
        <n v="1.2"/>
        <n v="1.76454545454545"/>
        <n v="2.05516129032258"/>
        <n v="1.37107142857143"/>
        <n v="1.26432432432432"/>
        <n v="1.01571428571429"/>
        <n v="1.973"/>
        <n v="1.92456140350877"/>
        <n v="1.56961538461538"/>
        <n v="1.36625"/>
        <n v="1.01611111111111"/>
        <n v="1.91645161290323"/>
        <n v="1.5241935483871"/>
        <n v="1.2632"/>
        <n v="1.1532"/>
        <n v="1.38944444444444"/>
        <n v="1.1045"/>
        <n v="1.70569620253165"/>
        <n v="1.38681818181818"/>
        <n v="1.68849056603774"/>
        <n v="1.524375"/>
        <n v="1.60046875"/>
        <n v="1.71508474576271"/>
        <n v="1.36928571428571"/>
        <n v="1.07258064516129"/>
        <n v="1.55333333333333"/>
        <n v="1.09904761904762"/>
        <n v="2.0125"/>
        <n v="1.41354838709677"/>
        <n v="1.2075"/>
        <n v="2.00181818181818"/>
        <n v="1.58660714285714"/>
        <n v="1.57615384615385"/>
        <n v="1.16763157894737"/>
        <n v="1.19392857142857"/>
        <n v="1.17428571428571"/>
        <n v="1.89289473684211"/>
        <n v="1.53166666666667"/>
        <n v="1.39"/>
        <n v="1.70666666666667"/>
        <n v="1.758125"/>
        <n v="1.006"/>
        <n v="1.1547619047619"/>
        <n v="1.19411764705882"/>
        <n v="1.635"/>
        <n v="1.40227272727273"/>
        <n v="1.93063829787234"/>
        <n v="1.72"/>
        <n v="1.25066666666667"/>
        <n v="1.77263157894737"/>
        <n v="1.0025"/>
        <n v="1.53949152542373"/>
        <n v="1.85657894736842"/>
        <n v="1.19042553191489"/>
        <m/>
      </sharedItems>
    </cacheField>
    <cacheField name="Bearbeitungsdauer pro Interval1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nterval2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st Spalte F leer?" numFmtId="0">
      <sharedItems containsNonDate="0" containsBlank="1" count="2">
        <b v="0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6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404" createdVersion="7">
  <cacheSource type="worksheet">
    <worksheetSource ref="A1:L405" sheet="Rohdaten-1"/>
  </cacheSource>
  <cacheFields count="12">
    <cacheField name="VorgangsID" numFmtId="0">
      <sharedItems containsNonDate="0" longText="1" count="404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  <s v="GANZZAHL(F2/20)+1&#10;GANZZAHL rundet das Ergebnis auf die nächstkleinere ganze Zahl ab. Anschließend wird 1 addiert, weil WAHL seine Auswahlmöglichkeiten ab Position 1 nummeriert.&#10;Für den Wert 47:"/>
        <s v="ANZZAHL(2,35)+1=3"/>
        <s v="Das bedeutet: Es wird die dritte Kategorie ausgewählt.&#10;Schritt 3: MIN(6;...)&#10;excel&#10;MIN(6;GANZZAHL(F2/20)+1)&#10;MIN begrenzt die berechnete Kategorienummer auf maximal 6, da es sechs Intervalle gibt.&#10;Beispiel: Für F2 = 150 ergibt sich zunächst die Kategorienummer 8. MIN reduziert sie auf 6. Dadurch wird kein Fehler durch eine zu hohe Kategorienummer verursacht.&#10;Schritt 4: WAHL(...)&#10;excel&#10;WAHL(Nummer;&quot;0–20&quot;;&quot;20–40&quot;;&quot;40–60&quot;;&quot;60–80&quot;;&quot;80–100&quot;;&quot;100–120&quot;)&#10;WAHL gibt den Text zurück, der zur berechneten Nummer gehört:&#10;1 → 0–20 &#10;2 → 20–40 &#10;3 → 40–60 &#10;4 → 60–80 &#10;5 → 80–100 &#10;6 → 100–120 &#10;Für F2 = 47 ist die Nummer 3. Das Ergebnis lautet daher 40–60."/>
        <s v="Wert in F2&#10;Berechnete Kategori&#10;Ergebnis&#10;12&#10;1&#10;0–20&#10;"/>
        <s v="3. Warum ist diese Formel praktisch?&#10;Automatisch: Jeder Zahlenwert wird einem Intervall zugeordnet. &#10;Einheitlich: Die Intervalle sind jeweils 20 Einheiten breit. &#10;Kompakt: Du musst keine einzelnen Grenzwerte mit mehreren Bedingungen prüfen. &#10;Begrenzt: Werte ab 120 landen in der letzten Kategorie. &#10;Wichtig: Die Formel ist für nicht negative Zahlen gedacht. Werte ab 120 werden immer als 100–120 ausgegeben. Wenn du Werte über 120 separat behandeln möchtest, müsste die Formel angepasst werden."/>
      </sharedItems>
    </cacheField>
    <cacheField name="Datum" numFmtId="0">
      <sharedItems containsNonDate="0" containsDate="1" containsString="0" containsBlank="1" minDate="2025-01-01T00:00:00" maxDate="2025-12-31T00:00:00" count="230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  <m/>
      </sharedItems>
      <fieldGroup base="1">
        <rangePr startDate="2025-01-01T00:00:00" endDate="2025-12-31T00:00:00" groupBy="months"/>
        <groupItems count="14">
          <s v="&lt;01/01/2025"/>
          <s v="Dez."/>
          <s v="Jan."/>
          <s v="Feb."/>
          <s v="März"/>
          <s v="Apr."/>
          <s v="Mai"/>
          <s v="Juni"/>
          <s v="Juli"/>
          <s v="Aug."/>
          <s v="Sept."/>
          <s v="Okt."/>
          <s v="Nov."/>
          <s v="&gt;12/31/2025"/>
        </groupItems>
      </fieldGroup>
    </cacheField>
    <cacheField name="Abteilung" numFmtId="0">
      <sharedItems containsNonDate="0" containsBlank="1" count="6">
        <s v="Buchhaltung"/>
        <s v="IT-Support"/>
        <s v="Vertrieb"/>
        <s v="Service"/>
        <s v="Einkauf"/>
        <m/>
      </sharedItems>
    </cacheField>
    <cacheField name="Bearbeiter" numFmtId="0">
      <sharedItems containsNonDate="0" containsBlank="1" count="12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  <m/>
      </sharedItems>
    </cacheField>
    <cacheField name="Vorgangstyp" numFmtId="0">
      <sharedItems containsNonDate="0" containsBlank="1" count="13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  <m/>
      </sharedItems>
    </cacheField>
    <cacheField name="Bearbeitungsdauer_Min" numFmtId="0">
      <sharedItems containsNonDate="0" containsString="0" containsBlank="1" containsNumber="1" containsInteger="1" minValue="5" maxValue="93" count="69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  <m/>
      </sharedItems>
    </cacheField>
    <cacheField name="Kosten_EUR" numFmtId="0">
      <sharedItems containsNonDate="0" containsString="0" containsBlank="1" containsNumber="1" containsInteger="1" minValue="5.47" maxValue="191.13" count="394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  <m/>
      </sharedItems>
    </cacheField>
    <cacheField name="SLA_Status" numFmtId="0">
      <sharedItems containsNonDate="0" containsBlank="1" count="3">
        <s v="Eingehalten"/>
        <s v="Verletzt"/>
        <m/>
      </sharedItems>
    </cacheField>
    <cacheField name="KOSTEN PRO MINUTE" numFmtId="0">
      <sharedItems containsNonDate="0" containsString="0" containsBlank="1" containsNumber="1" containsInteger="1" minValue="0.995" maxValue="2.05516129032258" count="393">
        <n v="1.46178571428571"/>
        <n v="1.1053125"/>
        <n v="1.43190476190476"/>
        <n v="1.24073170731707"/>
        <n v="1.63636363636364"/>
        <n v="1.44842105263158"/>
        <n v="1.60181818181818"/>
        <n v="1.14592592592593"/>
        <n v="1.58821428571429"/>
        <n v="1.73698113207547"/>
        <n v="1.73952380952381"/>
        <n v="1.14192307692308"/>
        <n v="1.40084745762712"/>
        <n v="1.24291666666667"/>
        <n v="1.0588"/>
        <n v="1.2545"/>
        <n v="1.50552631578947"/>
        <n v="2.022"/>
        <n v="1.36033333333333"/>
        <n v="1.51444444444444"/>
        <n v="1.81052631578947"/>
        <n v="1.53309523809524"/>
        <n v="1.16916666666667"/>
        <n v="1.37780487804878"/>
        <n v="1.01862068965517"/>
        <n v="1.23142857142857"/>
        <n v="1.7847619047619"/>
        <n v="1.34181818181818"/>
        <n v="1.69258064516129"/>
        <n v="1.40428571428571"/>
        <n v="1.185"/>
        <n v="1.20142857142857"/>
        <n v="1.09473684210526"/>
        <n v="1.24"/>
        <n v="1.4947619047619"/>
        <n v="1.57212121212121"/>
        <n v="1.861875"/>
        <n v="1.03090909090909"/>
        <n v="1.376"/>
        <n v="1.64869565217391"/>
        <n v="1.42833333333333"/>
        <n v="1.07"/>
        <n v="1.74641025641026"/>
        <n v="1.707"/>
        <n v="1.5284"/>
        <n v="1.60119047619048"/>
        <n v="1.5430612244898"/>
        <n v="1.7354347826087"/>
        <n v="1.08111111111111"/>
        <n v="1.7052"/>
        <n v="1.52833333333333"/>
        <n v="1.44552631578947"/>
        <n v="1.60444444444444"/>
        <n v="1.18631578947368"/>
        <n v="1.119375"/>
        <n v="1.35185185185185"/>
        <n v="1.69724137931034"/>
        <n v="1.47363636363636"/>
        <n v="1.13740740740741"/>
        <n v="1.35545454545455"/>
        <n v="1.96471264367816"/>
        <n v="1.2828"/>
        <n v="1.59875"/>
        <n v="1.175"/>
        <n v="1.38617647058824"/>
        <n v="1.16"/>
        <n v="1.36444444444444"/>
        <n v="1.46551724137931"/>
        <n v="1.72304347826087"/>
        <n v="1.82571428571429"/>
        <n v="1.24818181818182"/>
        <n v="1.20833333333333"/>
        <n v="1.2784"/>
        <n v="1.51628571428571"/>
        <n v="1.12333333333333"/>
        <n v="1.09736842105263"/>
        <n v="1.51133333333333"/>
        <n v="1.48542857142857"/>
        <n v="1.41088235294118"/>
        <n v="1.15823529411765"/>
        <n v="1.378125"/>
        <n v="1.53739130434783"/>
        <n v="1.37816326530612"/>
        <n v="1.76161290322581"/>
        <n v="1.09923076923077"/>
        <n v="1.61264705882353"/>
        <n v="1.6190625"/>
        <n v="1.06666666666667"/>
        <n v="1.6951724137931"/>
        <n v="1.69131578947368"/>
        <n v="1.45021739130435"/>
        <n v="0.996666666666667"/>
        <n v="1.82764705882353"/>
        <n v="1.7795"/>
        <n v="1.48166666666667"/>
        <n v="0.998518518518519"/>
        <n v="1.55666666666667"/>
        <n v="1.79923076923077"/>
        <n v="1.778"/>
        <n v="1.46225"/>
        <n v="1.104375"/>
        <n v="1.11777777777778"/>
        <n v="1.71142857142857"/>
        <n v="1.20375"/>
        <n v="1.61285714285714"/>
        <n v="1.61894736842105"/>
        <n v="1.22714285714286"/>
        <n v="1.54107142857143"/>
        <n v="1.56086956521739"/>
        <n v="1.37615384615385"/>
        <n v="1.74405405405405"/>
        <n v="1.622"/>
        <n v="1.476"/>
        <n v="1.37774193548387"/>
        <n v="1.03083333333333"/>
        <n v="1.49884615384615"/>
        <n v="1.0835"/>
        <n v="1.64632653061224"/>
        <n v="1.52153846153846"/>
        <n v="1.45333333333333"/>
        <n v="1.88723076923077"/>
        <n v="1.29146341463415"/>
        <n v="1.71916666666667"/>
        <n v="1.22"/>
        <n v="1.28060606060606"/>
        <n v="1.369"/>
        <n v="1.40261904761905"/>
        <n v="1.80666666666667"/>
        <n v="1.59974358974359"/>
        <n v="1.94771428571429"/>
        <n v="1.66947368421053"/>
        <n v="1.458"/>
        <n v="1.03583333333333"/>
        <n v="1.36489361702128"/>
        <n v="1.05566666666667"/>
        <n v="1.10416666666667"/>
        <n v="1.234"/>
        <n v="1.55370967741935"/>
        <n v="1.38434782608696"/>
        <n v="1.6047619047619"/>
        <n v="1.62577777777778"/>
        <n v="1.33521739130435"/>
        <n v="1.40666666666667"/>
        <n v="1.668125"/>
        <n v="1.45454545454545"/>
        <n v="1.21928571428571"/>
        <n v="1.63"/>
        <n v="1.21378378378378"/>
        <n v="1.26058823529412"/>
        <n v="1.74733333333333"/>
        <n v="1.15911111111111"/>
        <n v="1.61421052631579"/>
        <n v="1.19363636363636"/>
        <n v="1.19388888888889"/>
        <n v="1.045"/>
        <n v="1.44"/>
        <n v="1.640625"/>
        <n v="1.216"/>
        <n v="1.5156"/>
        <n v="1.88821428571429"/>
        <n v="1.55108108108108"/>
        <n v="1.29"/>
        <n v="1.71857142857143"/>
        <n v="1.80384615384615"/>
        <n v="1.15346153846154"/>
        <n v="1.25774193548387"/>
        <n v="1.46862068965517"/>
        <n v="1.09333333333333"/>
        <n v="1.26190476190476"/>
        <n v="1.0841935483871"/>
        <n v="1.34333333333333"/>
        <n v="1.68"/>
        <n v="1.63535714285714"/>
        <n v="1.49285714285714"/>
        <n v="1.716"/>
        <n v="1.35142857142857"/>
        <n v="1.54681818181818"/>
        <n v="1.70153846153846"/>
        <n v="1.68466666666667"/>
        <n v="1.4845652173913"/>
        <n v="1.18473684210526"/>
        <n v="1.21774193548387"/>
        <n v="1.05625"/>
        <n v="1.05884615384615"/>
        <n v="1.43857142857143"/>
        <n v="1.37947368421053"/>
        <n v="1.63771428571429"/>
        <n v="1.90876923076923"/>
        <n v="1.552"/>
        <n v="1.09111111111111"/>
        <n v="1.27842105263158"/>
        <n v="1.25028571428571"/>
        <n v="1.23655172413793"/>
        <n v="1.64727272727273"/>
        <n v="1.72185185185185"/>
        <n v="1.34967741935484"/>
        <n v="1.40818181818182"/>
        <n v="1.25318181818182"/>
        <n v="1.38702702702703"/>
        <n v="1.62473684210526"/>
        <n v="1.96704225352113"/>
        <n v="2.03698412698413"/>
        <n v="1.63093023255814"/>
        <n v="1.87770833333333"/>
        <n v="1.3628"/>
        <n v="1.71780487804878"/>
        <n v="1.1684"/>
        <n v="1.17566666666667"/>
        <n v="1.34229166666667"/>
        <n v="1.60592592592593"/>
        <n v="1.37628571428571"/>
        <n v="1.13638888888889"/>
        <n v="1.03230769230769"/>
        <n v="1.59266666666667"/>
        <n v="1.69483870967742"/>
        <n v="1.14421052631579"/>
        <n v="1.01179487179487"/>
        <n v="0.995"/>
        <n v="1.8248"/>
        <n v="1.87416666666667"/>
        <n v="1.82942857142857"/>
        <n v="1.3037037037037"/>
        <n v="1.65222222222222"/>
        <n v="1.98066666666667"/>
        <n v="1.558"/>
        <n v="1.61023255813953"/>
        <n v="1.29833333333333"/>
        <n v="1.21631578947368"/>
        <n v="1.06352941176471"/>
        <n v="1.01826086956522"/>
        <n v="1.35521739130435"/>
        <n v="1.61851851851852"/>
        <n v="1.25461538461538"/>
        <n v="1.77105263157895"/>
        <n v="1.094"/>
        <n v="1.09882352941176"/>
        <n v="1.46795454545455"/>
        <n v="1.1272972972973"/>
        <n v="1.76666666666667"/>
        <n v="1.43171428571429"/>
        <n v="1.48571428571429"/>
        <n v="1.46735294117647"/>
        <n v="1.62875"/>
        <n v="1.35263157894737"/>
        <n v="1.13586206896552"/>
        <n v="1.295"/>
        <n v="1.10227272727273"/>
        <n v="1.2295"/>
        <n v="1.1415625"/>
        <n v="1.37886363636364"/>
        <n v="1.24333333333333"/>
        <n v="1.14607142857143"/>
        <n v="1.03642857142857"/>
        <n v="1.01777777777778"/>
        <n v="1.21"/>
        <n v="1.60965517241379"/>
        <n v="1.14444444444444"/>
        <n v="1.5595652173913"/>
        <n v="1.40911111111111"/>
        <n v="1.62222222222222"/>
        <n v="1.66694444444444"/>
        <n v="1.7491935483871"/>
        <n v="1.70538461538462"/>
        <n v="1.43027777777778"/>
        <n v="1.23163265306122"/>
        <n v="1.45"/>
        <n v="1.21181818181818"/>
        <n v="1.6012"/>
        <n v="1.13"/>
        <n v="0.9952173913043481"/>
        <n v="1.67657894736842"/>
        <n v="1.51129032258065"/>
        <n v="1.4778"/>
        <n v="1.61923076923077"/>
        <n v="1.56767441860465"/>
        <n v="1.6124"/>
        <n v="1.63360655737705"/>
        <n v="1.56481481481481"/>
        <n v="1.035"/>
        <n v="1.65608695652174"/>
        <n v="1.64263157894737"/>
        <n v="1.76681818181818"/>
        <n v="1.71775"/>
        <n v="1.13727272727273"/>
        <n v="1.63337837837838"/>
        <n v="1.71777777777778"/>
        <n v="1.57909090909091"/>
        <n v="1.16964285714286"/>
        <n v="2.02628571428571"/>
        <n v="1.17588235294118"/>
        <n v="1.17684210526316"/>
        <n v="1.52391304347826"/>
        <n v="1.63136363636364"/>
        <n v="1.57"/>
        <n v="1.22047619047619"/>
        <n v="1.243"/>
        <n v="1.17045454545455"/>
        <n v="1.56875"/>
        <n v="1.08861111111111"/>
        <n v="1.45866666666667"/>
        <n v="1.47782608695652"/>
        <n v="1.466"/>
        <n v="1.33633333333333"/>
        <n v="1.32655172413793"/>
        <n v="1.65685714285714"/>
        <n v="1.745"/>
        <n v="1.63916666666667"/>
        <n v="1.29615384615385"/>
        <n v="1.51837837837838"/>
        <n v="1.09464285714286"/>
        <n v="1.22083333333333"/>
        <n v="1.18"/>
        <n v="1.61185185185185"/>
        <n v="1.08913043478261"/>
        <n v="1.19333333333333"/>
        <n v="1.6315625"/>
        <n v="1.67387755102041"/>
        <n v="1.96388235294118"/>
        <n v="1.00888888888889"/>
        <n v="1.2152380952381"/>
        <n v="1.8696"/>
        <n v="1.36697674418605"/>
        <n v="1.683125"/>
        <n v="1.65079365079365"/>
        <n v="1.43783333333333"/>
        <n v="1.396"/>
        <n v="1.4075"/>
        <n v="1.33"/>
        <n v="1.65285714285714"/>
        <n v="1.51882352941176"/>
        <n v="1.81928571428571"/>
        <n v="1.21083333333333"/>
        <n v="1.22645161290323"/>
        <n v="1.49717948717949"/>
        <n v="1.25"/>
        <n v="1.66891891891892"/>
        <n v="1.35733333333333"/>
        <n v="1.64"/>
        <n v="1.2"/>
        <n v="1.76454545454545"/>
        <n v="2.05516129032258"/>
        <n v="1.37107142857143"/>
        <n v="1.26432432432432"/>
        <n v="1.01571428571429"/>
        <n v="1.973"/>
        <n v="1.92456140350877"/>
        <n v="1.56961538461538"/>
        <n v="1.36625"/>
        <n v="1.01611111111111"/>
        <n v="1.91645161290323"/>
        <n v="1.5241935483871"/>
        <n v="1.2632"/>
        <n v="1.1532"/>
        <n v="1.38944444444444"/>
        <n v="1.1045"/>
        <n v="1.70569620253165"/>
        <n v="1.38681818181818"/>
        <n v="1.68849056603774"/>
        <n v="1.524375"/>
        <n v="1.60046875"/>
        <n v="1.71508474576271"/>
        <n v="1.36928571428571"/>
        <n v="1.07258064516129"/>
        <n v="1.55333333333333"/>
        <n v="1.09904761904762"/>
        <n v="2.0125"/>
        <n v="1.41354838709677"/>
        <n v="1.2075"/>
        <n v="2.00181818181818"/>
        <n v="1.58660714285714"/>
        <n v="1.57615384615385"/>
        <n v="1.16763157894737"/>
        <n v="1.19392857142857"/>
        <n v="1.17428571428571"/>
        <n v="1.89289473684211"/>
        <n v="1.53166666666667"/>
        <n v="1.39"/>
        <n v="1.70666666666667"/>
        <n v="1.758125"/>
        <n v="1.006"/>
        <n v="1.1547619047619"/>
        <n v="1.19411764705882"/>
        <n v="1.635"/>
        <n v="1.40227272727273"/>
        <n v="1.93063829787234"/>
        <n v="1.72"/>
        <n v="1.25066666666667"/>
        <n v="1.77263157894737"/>
        <n v="1.0025"/>
        <n v="1.53949152542373"/>
        <n v="1.85657894736842"/>
        <n v="1.19042553191489"/>
        <m/>
      </sharedItems>
    </cacheField>
    <cacheField name="Bearbeitungsdauer pro Interval1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nterval2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st Spalte F leer?" numFmtId="0">
      <sharedItems containsNonDate="0" containsBlank="1" count="2">
        <b v="0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7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404" createdVersion="7">
  <cacheSource type="worksheet">
    <worksheetSource ref="A1:L405" sheet="Rohdaten-1"/>
  </cacheSource>
  <cacheFields count="12">
    <cacheField name="VorgangsID" numFmtId="0">
      <sharedItems containsNonDate="0" longText="1" count="404">
        <s v="V-1140"/>
        <s v="V-1089"/>
        <s v="V-1389"/>
        <s v="V-1391"/>
        <s v="V-1056"/>
        <s v="V-1177"/>
        <s v="V-1365"/>
        <s v="V-1030"/>
        <s v="V-1262"/>
        <s v="V-1093"/>
        <s v="V-1191"/>
        <s v="V-1143"/>
        <s v="V-1181"/>
        <s v="V-1337"/>
        <s v="V-1058"/>
        <s v="V-1133"/>
        <s v="V-1077"/>
        <s v="V-1313"/>
        <s v="V-1383"/>
        <s v="V-1366"/>
        <s v="V-1038"/>
        <s v="V-1332"/>
        <s v="V-1096"/>
        <s v="V-1121"/>
        <s v="V-1204"/>
        <s v="V-1309"/>
        <s v="V-1035"/>
        <s v="V-1119"/>
        <s v="V-1013"/>
        <s v="V-1160"/>
        <s v="V-1291"/>
        <s v="V-1357"/>
        <s v="V-1388"/>
        <s v="V-1195"/>
        <s v="V-1236"/>
        <s v="V-1031"/>
        <s v="V-1048"/>
        <s v="V-1196"/>
        <s v="V-1283"/>
        <s v="V-1356"/>
        <s v="V-1377"/>
        <s v="V-1219"/>
        <s v="V-1026"/>
        <s v="V-1075"/>
        <s v="V-1111"/>
        <s v="V-1239"/>
        <s v="V-1139"/>
        <s v="V-1336"/>
        <s v="V-1054"/>
        <s v="V-1144"/>
        <s v="V-1396"/>
        <s v="V-1200"/>
        <s v="V-1034"/>
        <s v="V-1393"/>
        <s v="V-1243"/>
        <s v="V-1333"/>
        <s v="V-1059"/>
        <s v="V-1250"/>
        <s v="V-1258"/>
        <s v="V-1341"/>
        <s v="V-1364"/>
        <s v="V-1175"/>
        <s v="V-1379"/>
        <s v="V-1081"/>
        <s v="V-1302"/>
        <s v="V-1007"/>
        <s v="V-1098"/>
        <s v="V-1192"/>
        <s v="V-1197"/>
        <s v="V-1027"/>
        <s v="V-1311"/>
        <s v="V-1055"/>
        <s v="V-1190"/>
        <s v="V-1033"/>
        <s v="V-1142"/>
        <s v="V-1354"/>
        <s v="V-1360"/>
        <s v="V-1286"/>
        <s v="V-1314"/>
        <s v="V-1344"/>
        <s v="V-1154"/>
        <s v="V-1312"/>
        <s v="V-1225"/>
        <s v="V-1079"/>
        <s v="V-1018"/>
        <s v="V-1201"/>
        <s v="V-1052"/>
        <s v="V-1183"/>
        <s v="V-1083"/>
        <s v="V-1251"/>
        <s v="V-1010"/>
        <s v="V-1100"/>
        <s v="V-1245"/>
        <s v="V-1217"/>
        <s v="V-1208"/>
        <s v="V-1209"/>
        <s v="V-1037"/>
        <s v="V-1267"/>
        <s v="V-1053"/>
        <s v="V-1353"/>
        <s v="V-1126"/>
        <s v="V-1187"/>
        <s v="V-1213"/>
        <s v="V-1256"/>
        <s v="V-1003"/>
        <s v="V-1350"/>
        <s v="V-1017"/>
        <s v="V-1223"/>
        <s v="V-1373"/>
        <s v="V-1063"/>
        <s v="V-1158"/>
        <s v="V-1363"/>
        <s v="V-1385"/>
        <s v="V-1399"/>
        <s v="V-1129"/>
        <s v="V-1189"/>
        <s v="V-1076"/>
        <s v="V-1345"/>
        <s v="V-1039"/>
        <s v="V-1060"/>
        <s v="V-1257"/>
        <s v="V-1369"/>
        <s v="V-1127"/>
        <s v="V-1151"/>
        <s v="V-1247"/>
        <s v="V-1380"/>
        <s v="V-1260"/>
        <s v="V-1306"/>
        <s v="V-1036"/>
        <s v="V-1237"/>
        <s v="V-1016"/>
        <s v="V-1066"/>
        <s v="V-1155"/>
        <s v="V-1308"/>
        <s v="V-1130"/>
        <s v="V-1376"/>
        <s v="V-1331"/>
        <s v="V-1132"/>
        <s v="V-1275"/>
        <s v="V-1328"/>
        <s v="V-1186"/>
        <s v="V-1064"/>
        <s v="V-1280"/>
        <s v="V-1340"/>
        <s v="V-1085"/>
        <s v="V-1392"/>
        <s v="V-1138"/>
        <s v="V-1009"/>
        <s v="V-1216"/>
        <s v="V-1303"/>
        <s v="V-1339"/>
        <s v="V-1128"/>
        <s v="V-1021"/>
        <s v="V-1326"/>
        <s v="V-1362"/>
        <s v="V-1051"/>
        <s v="V-1285"/>
        <s v="V-1372"/>
        <s v="V-1118"/>
        <s v="V-1298"/>
        <s v="V-1073"/>
        <s v="V-1123"/>
        <s v="V-1115"/>
        <s v="V-1131"/>
        <s v="V-1070"/>
        <s v="V-1171"/>
        <s v="V-1238"/>
        <s v="V-1101"/>
        <s v="V-1047"/>
        <s v="V-1067"/>
        <s v="V-1300"/>
        <s v="V-1324"/>
        <s v="V-1289"/>
        <s v="V-1109"/>
        <s v="V-1094"/>
        <s v="V-1172"/>
        <s v="V-1273"/>
        <s v="V-1087"/>
        <s v="V-1061"/>
        <s v="V-1378"/>
        <s v="V-1342"/>
        <s v="V-1005"/>
        <s v="V-1233"/>
        <s v="V-1006"/>
        <s v="V-1301"/>
        <s v="V-1292"/>
        <s v="V-1224"/>
        <s v="V-1274"/>
        <s v="V-1169"/>
        <s v="V-1387"/>
        <s v="V-1325"/>
        <s v="V-1269"/>
        <s v="V-1008"/>
        <s v="V-1025"/>
        <s v="V-1105"/>
        <s v="V-1185"/>
        <s v="V-1206"/>
        <s v="V-1057"/>
        <s v="V-1211"/>
        <s v="V-1202"/>
        <s v="V-1253"/>
        <s v="V-1263"/>
        <s v="V-1244"/>
        <s v="V-1040"/>
        <s v="V-1095"/>
        <s v="V-1320"/>
        <s v="V-1019"/>
        <s v="V-1152"/>
        <s v="V-1166"/>
        <s v="V-1178"/>
        <s v="V-1359"/>
        <s v="V-1086"/>
        <s v="V-1147"/>
        <s v="V-1231"/>
        <s v="V-1278"/>
        <s v="V-1235"/>
        <s v="V-1091"/>
        <s v="V-1015"/>
        <s v="V-1329"/>
        <s v="V-1218"/>
        <s v="V-1338"/>
        <s v="V-1394"/>
        <s v="V-1270"/>
        <s v="V-1222"/>
        <s v="V-1113"/>
        <s v="V-1220"/>
        <s v="V-1347"/>
        <s v="V-1137"/>
        <s v="V-1322"/>
        <s v="V-1374"/>
        <s v="V-1114"/>
        <s v="V-1207"/>
        <s v="V-1272"/>
        <s v="V-1234"/>
        <s v="V-1082"/>
        <s v="V-1164"/>
        <s v="V-1330"/>
        <s v="V-1193"/>
        <s v="V-1252"/>
        <s v="V-1279"/>
        <s v="V-1163"/>
        <s v="V-1248"/>
        <s v="V-1355"/>
        <s v="V-1099"/>
        <s v="V-1382"/>
        <s v="V-1255"/>
        <s v="V-1335"/>
        <s v="V-1043"/>
        <s v="V-1266"/>
        <s v="V-1288"/>
        <s v="V-1174"/>
        <s v="V-1146"/>
        <s v="V-1242"/>
        <s v="V-1157"/>
        <s v="V-1214"/>
        <s v="V-1386"/>
        <s v="V-1153"/>
        <s v="V-1307"/>
        <s v="V-1271"/>
        <s v="V-1281"/>
        <s v="V-1022"/>
        <s v="V-1049"/>
        <s v="V-1148"/>
        <s v="V-1205"/>
        <s v="V-1229"/>
        <s v="V-1241"/>
        <s v="V-1032"/>
        <s v="V-1305"/>
        <s v="V-1141"/>
        <s v="V-1084"/>
        <s v="V-1046"/>
        <s v="V-1261"/>
        <s v="V-1024"/>
        <s v="V-1161"/>
        <s v="V-1198"/>
        <s v="V-1210"/>
        <s v="V-1156"/>
        <s v="V-1065"/>
        <s v="V-1068"/>
        <s v="V-1361"/>
        <s v="V-1028"/>
        <s v="V-1173"/>
        <s v="V-1367"/>
        <s v="V-1042"/>
        <s v="V-1050"/>
        <s v="V-1150"/>
        <s v="V-1268"/>
        <s v="V-1002"/>
        <s v="V-1090"/>
        <s v="V-1265"/>
        <s v="V-1310"/>
        <s v="V-1334"/>
        <s v="V-1290"/>
        <s v="V-1071"/>
        <s v="V-1371"/>
        <s v="V-1370"/>
        <s v="V-1179"/>
        <s v="V-1203"/>
        <s v="V-1188"/>
        <s v="V-1227"/>
        <s v="V-1398"/>
        <s v="V-1014"/>
        <s v="V-1045"/>
        <s v="V-1108"/>
        <s v="V-1297"/>
        <s v="V-1120"/>
        <s v="V-1287"/>
        <s v="V-1352"/>
        <s v="V-1134"/>
        <s v="V-1368"/>
        <s v="V-1135"/>
        <s v="V-1304"/>
        <s v="V-1319"/>
        <s v="V-1384"/>
        <s v="V-1088"/>
        <s v="V-1136"/>
        <s v="V-1149"/>
        <s v="V-1004"/>
        <s v="V-1117"/>
        <s v="V-1125"/>
        <s v="V-1107"/>
        <s v="V-1044"/>
        <s v="V-1215"/>
        <s v="V-1103"/>
        <s v="V-1232"/>
        <s v="V-1249"/>
        <s v="V-1295"/>
        <s v="V-1168"/>
        <s v="V-1349"/>
        <s v="V-1246"/>
        <s v="V-1282"/>
        <s v="V-1348"/>
        <s v="V-1072"/>
        <s v="V-1315"/>
        <s v="V-1124"/>
        <s v="V-1212"/>
        <s v="V-1221"/>
        <s v="V-1390"/>
        <s v="V-1162"/>
        <s v="V-1092"/>
        <s v="V-1102"/>
        <s v="V-1226"/>
        <s v="V-1264"/>
        <s v="V-1078"/>
        <s v="V-1122"/>
        <s v="V-1318"/>
        <s v="V-1228"/>
        <s v="V-1259"/>
        <s v="V-1293"/>
        <s v="V-1397"/>
        <s v="V-1001"/>
        <s v="V-1012"/>
        <s v="V-1023"/>
        <s v="V-1343"/>
        <s v="V-1294"/>
        <s v="V-1296"/>
        <s v="V-1358"/>
        <s v="V-1230"/>
        <s v="V-1104"/>
        <s v="V-1145"/>
        <s v="V-1375"/>
        <s v="V-1254"/>
        <s v="V-1381"/>
        <s v="V-1097"/>
        <s v="V-1106"/>
        <s v="V-1346"/>
        <s v="V-1167"/>
        <s v="V-1194"/>
        <s v="V-1069"/>
        <s v="V-1284"/>
        <s v="V-1029"/>
        <s v="V-1317"/>
        <s v="V-1074"/>
        <s v="V-1176"/>
        <s v="V-1276"/>
        <s v="V-1277"/>
        <s v="V-1020"/>
        <s v="V-1170"/>
        <s v="V-1011"/>
        <s v="V-1240"/>
        <s v="V-1299"/>
        <s v="V-1116"/>
        <s v="V-1165"/>
        <s v="V-1184"/>
        <s v="V-1327"/>
        <s v="V-1041"/>
        <s v="V-1080"/>
        <s v="V-1182"/>
        <s v="V-1395"/>
        <s v="V-1180"/>
        <s v="V-1321"/>
        <s v="V-1062"/>
        <s v="V-1110"/>
        <s v="V-1199"/>
        <s v="V-1159"/>
        <s v="V-1351"/>
        <s v="V-1323"/>
        <s v="V-1316"/>
        <s v="V-1112"/>
        <s v="GANZZAHL(F2/20)+1&#10;GANZZAHL rundet das Ergebnis auf die nächstkleinere ganze Zahl ab. Anschließend wird 1 addiert, weil WAHL seine Auswahlmöglichkeiten ab Position 1 nummeriert.&#10;Für den Wert 47:"/>
        <s v="ANZZAHL(2,35)+1=3"/>
        <s v="Das bedeutet: Es wird die dritte Kategorie ausgewählt.&#10;Schritt 3: MIN(6;...)&#10;excel&#10;MIN(6;GANZZAHL(F2/20)+1)&#10;MIN begrenzt die berechnete Kategorienummer auf maximal 6, da es sechs Intervalle gibt.&#10;Beispiel: Für F2 = 150 ergibt sich zunächst die Kategorienummer 8. MIN reduziert sie auf 6. Dadurch wird kein Fehler durch eine zu hohe Kategorienummer verursacht.&#10;Schritt 4: WAHL(...)&#10;excel&#10;WAHL(Nummer;&quot;0–20&quot;;&quot;20–40&quot;;&quot;40–60&quot;;&quot;60–80&quot;;&quot;80–100&quot;;&quot;100–120&quot;)&#10;WAHL gibt den Text zurück, der zur berechneten Nummer gehört:&#10;1 → 0–20 &#10;2 → 20–40 &#10;3 → 40–60 &#10;4 → 60–80 &#10;5 → 80–100 &#10;6 → 100–120 &#10;Für F2 = 47 ist die Nummer 3. Das Ergebnis lautet daher 40–60."/>
        <s v="Wert in F2&#10;Berechnete Kategori&#10;Ergebnis&#10;12&#10;1&#10;0–20&#10;"/>
        <s v="3. Warum ist diese Formel praktisch?&#10;Automatisch: Jeder Zahlenwert wird einem Intervall zugeordnet. &#10;Einheitlich: Die Intervalle sind jeweils 20 Einheiten breit. &#10;Kompakt: Du musst keine einzelnen Grenzwerte mit mehreren Bedingungen prüfen. &#10;Begrenzt: Werte ab 120 landen in der letzten Kategorie. &#10;Wichtig: Die Formel ist für nicht negative Zahlen gedacht. Werte ab 120 werden immer als 100–120 ausgegeben. Wenn du Werte über 120 separat behandeln möchtest, müsste die Formel angepasst werden."/>
      </sharedItems>
    </cacheField>
    <cacheField name="Datum" numFmtId="0">
      <sharedItems containsNonDate="0" containsDate="1" containsString="0" containsBlank="1" minDate="2025-01-01T00:00:00" maxDate="2025-12-31T00:00:00" count="230">
        <d v="2025-01-01T00:00:00"/>
        <d v="2025-01-04T00:00:00"/>
        <d v="2025-01-05T00:00:00"/>
        <d v="2025-01-08T00:00:00"/>
        <d v="2025-01-09T00:00:00"/>
        <d v="2025-01-11T00:00:00"/>
        <d v="2025-01-14T00:00:00"/>
        <d v="2025-01-15T00:00:00"/>
        <d v="2025-01-20T00:00:00"/>
        <d v="2025-01-21T00:00:00"/>
        <d v="2025-01-24T00:00:00"/>
        <d v="2025-01-25T00:00:00"/>
        <d v="2025-01-26T00:00:00"/>
        <d v="2025-01-27T00:00:00"/>
        <d v="2025-01-28T00:00:00"/>
        <d v="2025-01-29T00:00:00"/>
        <d v="2025-01-31T00:00:00"/>
        <d v="2025-02-01T00:00:00"/>
        <d v="2025-02-03T00:00:00"/>
        <d v="2025-02-06T00:00:00"/>
        <d v="2025-02-07T00:00:00"/>
        <d v="2025-02-09T00:00:00"/>
        <d v="2025-02-13T00:00:00"/>
        <d v="2025-02-15T00:00:00"/>
        <d v="2025-02-17T00:00:00"/>
        <d v="2025-02-18T00:00:00"/>
        <d v="2025-02-19T00:00:00"/>
        <d v="2025-02-21T00:00:00"/>
        <d v="2025-02-22T00:00:00"/>
        <d v="2025-02-26T00:00:00"/>
        <d v="2025-02-27T00:00:00"/>
        <d v="2025-02-28T00:00:00"/>
        <d v="2025-03-02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3T00:00:00"/>
        <d v="2025-03-15T00:00:00"/>
        <d v="2025-03-16T00:00:00"/>
        <d v="2025-03-17T00:00:00"/>
        <d v="2025-03-20T00:00:00"/>
        <d v="2025-03-21T00:00:00"/>
        <d v="2025-03-23T00:00:00"/>
        <d v="2025-03-24T00:00:00"/>
        <d v="2025-03-25T00:00:00"/>
        <d v="2025-03-26T00:00:00"/>
        <d v="2025-03-31T00:00:00"/>
        <d v="2025-04-03T00:00:00"/>
        <d v="2025-04-04T00:00:00"/>
        <d v="2025-04-14T00:00:00"/>
        <d v="2025-04-15T00:00:00"/>
        <d v="2025-04-16T00:00:00"/>
        <d v="2025-04-17T00:00:00"/>
        <d v="2025-04-19T00:00:00"/>
        <d v="2025-04-21T00:00:00"/>
        <d v="2025-04-22T00:00:00"/>
        <d v="2025-04-23T00:00:00"/>
        <d v="2025-04-24T00:00:00"/>
        <d v="2025-04-26T00:00:00"/>
        <d v="2025-04-27T00:00:00"/>
        <d v="2025-04-28T00:00:00"/>
        <d v="2025-04-30T00:00:00"/>
        <d v="2025-05-01T00:00:00"/>
        <d v="2025-05-02T00:00:00"/>
        <d v="2025-05-03T00:00:00"/>
        <d v="2025-05-04T00:00:00"/>
        <d v="2025-05-08T00:00:00"/>
        <d v="2025-05-10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6T00:00:00"/>
        <d v="2025-06-17T00:00:00"/>
        <d v="2025-06-19T00:00:00"/>
        <d v="2025-06-20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8T00:00:00"/>
        <d v="2025-07-19T00:00:00"/>
        <d v="2025-07-22T00:00:00"/>
        <d v="2025-07-23T00:00:00"/>
        <d v="2025-07-24T00:00:00"/>
        <d v="2025-07-25T00:00:00"/>
        <d v="2025-07-27T00:00:00"/>
        <d v="2025-07-29T00:00:00"/>
        <d v="2025-07-30T00:00:00"/>
        <d v="2025-08-02T00:00:00"/>
        <d v="2025-08-06T00:00:00"/>
        <d v="2025-08-08T00:00:00"/>
        <d v="2025-08-09T00:00:00"/>
        <d v="2025-08-13T00:00:00"/>
        <d v="2025-08-15T00:00:00"/>
        <d v="2025-08-18T00:00:00"/>
        <d v="2025-08-19T00:00:00"/>
        <d v="2025-08-25T00:00:00"/>
        <d v="2025-08-27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11T00:00:00"/>
        <d v="2025-09-12T00:00:00"/>
        <d v="2025-09-13T00:00:00"/>
        <d v="2025-09-14T00:00:00"/>
        <d v="2025-09-17T00:00:00"/>
        <d v="2025-09-18T00:00:00"/>
        <d v="2025-09-21T00:00:00"/>
        <d v="2025-09-23T00:00:00"/>
        <d v="2025-09-24T00:00:00"/>
        <d v="2025-09-25T00:00:00"/>
        <d v="2025-09-26T00:00:00"/>
        <d v="2025-09-29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9T00:00:00"/>
        <d v="2025-10-10T00:00:00"/>
        <d v="2025-10-11T00:00:00"/>
        <d v="2025-10-12T00:00:00"/>
        <d v="2025-10-13T00:00:00"/>
        <d v="2025-10-15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1T00:00:00"/>
        <d v="2025-11-01T00:00:00"/>
        <d v="2025-11-03T00:00:00"/>
        <d v="2025-11-04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4T00:00:00"/>
        <d v="2025-12-07T00:00:00"/>
        <d v="2025-12-08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9T00:00:00"/>
        <d v="2025-12-20T00:00:00"/>
        <d v="2025-12-23T00:00:00"/>
        <d v="2025-12-25T00:00:00"/>
        <d v="2025-12-26T00:00:00"/>
        <d v="2025-12-27T00:00:00"/>
        <d v="2025-12-28T00:00:00"/>
        <d v="2025-12-29T00:00:00"/>
        <d v="2025-12-31T00:00:00"/>
        <m/>
      </sharedItems>
    </cacheField>
    <cacheField name="Abteilung" numFmtId="0">
      <sharedItems containsNonDate="0" containsBlank="1" count="6">
        <s v="Buchhaltung"/>
        <s v="IT-Support"/>
        <s v="Vertrieb"/>
        <s v="Service"/>
        <s v="Einkauf"/>
        <m/>
      </sharedItems>
    </cacheField>
    <cacheField name="Bearbeiter" numFmtId="0">
      <sharedItems containsNonDate="0" containsBlank="1" count="12">
        <s v="K. Lindner"/>
        <s v="R. Engel"/>
        <s v="J. Schreiber"/>
        <s v="P. Richter"/>
        <s v="M. Krause"/>
        <s v="T. Hoffmann"/>
        <s v="A. Neumann"/>
        <s v="L. Becker"/>
        <s v="S. Wolff"/>
        <s v="D. Brandt"/>
        <s v="C. Voss"/>
        <m/>
      </sharedItems>
    </cacheField>
    <cacheField name="Vorgangstyp" numFmtId="0">
      <sharedItems containsNonDate="0" containsBlank="1" count="13">
        <s v="Mahnwesen"/>
        <s v="Zugriffsfreigabe"/>
        <s v="Angebotserstellung"/>
        <s v="Supportticket"/>
        <s v="Rechnungspruefung"/>
        <s v="Auftragserfassung"/>
        <s v="Reklamation"/>
        <s v="Bestellanforderung"/>
        <s v="Hardwarebestellung"/>
        <s v="Lieferantenfreigabe"/>
        <s v="Zahlungsfreigabe"/>
        <s v="Ruecksendung"/>
        <m/>
      </sharedItems>
    </cacheField>
    <cacheField name="Bearbeitungsdauer_Min" numFmtId="0">
      <sharedItems containsNonDate="0" containsString="0" containsBlank="1" containsNumber="1" containsInteger="1" minValue="5" maxValue="93" count="69">
        <n v="28"/>
        <n v="32"/>
        <n v="42"/>
        <n v="41"/>
        <n v="22"/>
        <n v="19"/>
        <n v="27"/>
        <n v="53"/>
        <n v="26"/>
        <n v="59"/>
        <n v="24"/>
        <n v="25"/>
        <n v="20"/>
        <n v="38"/>
        <n v="35"/>
        <n v="30"/>
        <n v="12"/>
        <n v="29"/>
        <n v="21"/>
        <n v="33"/>
        <n v="31"/>
        <n v="7"/>
        <n v="16"/>
        <n v="11"/>
        <n v="46"/>
        <n v="39"/>
        <n v="49"/>
        <n v="50"/>
        <n v="9"/>
        <n v="54"/>
        <n v="58"/>
        <n v="87"/>
        <n v="34"/>
        <n v="6"/>
        <n v="23"/>
        <n v="14"/>
        <n v="45"/>
        <n v="64"/>
        <n v="17"/>
        <n v="5"/>
        <n v="40"/>
        <n v="8"/>
        <n v="37"/>
        <n v="63"/>
        <n v="18"/>
        <n v="13"/>
        <n v="65"/>
        <n v="10"/>
        <n v="47"/>
        <n v="36"/>
        <n v="62"/>
        <n v="48"/>
        <n v="44"/>
        <n v="15"/>
        <n v="66"/>
        <n v="71"/>
        <n v="43"/>
        <n v="60"/>
        <n v="51"/>
        <n v="61"/>
        <n v="57"/>
        <n v="74"/>
        <n v="70"/>
        <n v="85"/>
        <n v="93"/>
        <n v="56"/>
        <n v="79"/>
        <n v="52"/>
        <m/>
      </sharedItems>
    </cacheField>
    <cacheField name="Kosten_EUR" numFmtId="0">
      <sharedItems containsNonDate="0" containsString="0" containsBlank="1" containsNumber="1" containsInteger="1" minValue="5.47" maxValue="191.13" count="394">
        <n v="40.93"/>
        <n v="35.37"/>
        <n v="60.14"/>
        <n v="50.87"/>
        <n v="36"/>
        <n v="27.52"/>
        <n v="35.24"/>
        <n v="30.94"/>
        <n v="44.47"/>
        <n v="92.06"/>
        <n v="73.06"/>
        <n v="29.69"/>
        <n v="82.65000000000001"/>
        <n v="29.83"/>
        <n v="26.47"/>
        <n v="25.09"/>
        <n v="57.21"/>
        <n v="70.77"/>
        <n v="40.81"/>
        <n v="40.89"/>
        <n v="68.8"/>
        <n v="64.39"/>
        <n v="14.03"/>
        <n v="56.49"/>
        <n v="29.54"/>
        <n v="25.86"/>
        <n v="37.48"/>
        <n v="44.28"/>
        <n v="52.47"/>
        <n v="9.83"/>
        <n v="28.44"/>
        <n v="33.64"/>
        <n v="20.8"/>
        <n v="19.84"/>
        <n v="31.39"/>
        <n v="51.88"/>
        <n v="59.58"/>
        <n v="11.34"/>
        <n v="48.16"/>
        <n v="75.84"/>
        <n v="42.85"/>
        <n v="11.77"/>
        <n v="68.11"/>
        <n v="51.21"/>
        <n v="38.21"/>
        <n v="67.25"/>
        <n v="75.61"/>
        <n v="79.83"/>
        <n v="29.19"/>
        <n v="85.26000000000001"/>
        <n v="18.34"/>
        <n v="54.93"/>
        <n v="14.44"/>
        <n v="22.54"/>
        <n v="17.91"/>
        <n v="73"/>
        <n v="98.44"/>
        <n v="16.21"/>
        <n v="30.71"/>
        <n v="29.82"/>
        <n v="170.93"/>
        <n v="32.07"/>
        <n v="38.37"/>
        <n v="14.1"/>
        <n v="47.13"/>
        <n v="6.96"/>
        <n v="36.84"/>
        <n v="42.5"/>
        <n v="39.63"/>
        <n v="25.56"/>
        <n v="27.46"/>
        <n v="29"/>
        <n v="31.96"/>
        <n v="53.07"/>
        <n v="23.59"/>
        <n v="20.85"/>
        <n v="68.01000000000001"/>
        <n v="51.99"/>
        <n v="47.97"/>
        <n v="39.38"/>
        <n v="44.1"/>
        <n v="35.36"/>
        <n v="67.53"/>
        <n v="54.61"/>
        <n v="28.58"/>
        <n v="54.83"/>
        <n v="103.62"/>
        <n v="6.4"/>
        <n v="49.16"/>
        <n v="64.27"/>
        <n v="66.70999999999999"/>
        <n v="11.96"/>
        <n v="31.07"/>
        <n v="35.59"/>
        <n v="35.56"/>
        <n v="26.96"/>
        <n v="14.01"/>
        <n v="70.17"/>
        <n v="8.890000000000001"/>
        <n v="58.49"/>
        <n v="17.67"/>
        <n v="30.18"/>
        <n v="35.94"/>
        <n v="9.630000000000001"/>
        <n v="22.58"/>
        <n v="30.76"/>
        <n v="8.59"/>
        <n v="43.15"/>
        <n v="71.8"/>
        <n v="35.78"/>
        <n v="64.53"/>
        <n v="48.66"/>
        <n v="7.38"/>
        <n v="42.71"/>
        <n v="24.74"/>
        <n v="88.47"/>
        <n v="38.97"/>
        <n v="21.67"/>
        <n v="80.67"/>
        <n v="17.94"/>
        <n v="19.78"/>
        <n v="30.52"/>
        <n v="122.67"/>
        <n v="52.95"/>
        <n v="20.63"/>
        <n v="12.2"/>
        <n v="42.26"/>
        <n v="54.76"/>
        <n v="58.91"/>
        <n v="81.3"/>
        <n v="62.39"/>
        <n v="68.17"/>
        <n v="31.72"/>
        <n v="36.45"/>
        <n v="24.86"/>
        <n v="64.15000000000001"/>
        <n v="31.67"/>
        <n v="39.75"/>
        <n v="24.68"/>
        <n v="96.33"/>
        <n v="31.84"/>
        <n v="67.40000000000001"/>
        <n v="73.16"/>
        <n v="54.86"/>
        <n v="80.06999999999999"/>
        <n v="32"/>
        <n v="17.07"/>
        <n v="44.01"/>
        <n v="44.91"/>
        <n v="21.43"/>
        <n v="78.63"/>
        <n v="52.16"/>
        <n v="61.34"/>
        <n v="26.26"/>
        <n v="21.49"/>
        <n v="16.72"/>
        <n v="18.72"/>
        <n v="52.5"/>
        <n v="30.4"/>
        <n v="37.89"/>
        <n v="52.87"/>
        <n v="57.39"/>
        <n v="46.44"/>
        <n v="24.06"/>
        <n v="46.9"/>
        <n v="29.99"/>
        <n v="38.99"/>
        <n v="42.59"/>
        <n v="32.8"/>
        <n v="26.5"/>
        <n v="33.61"/>
        <n v="28.21"/>
        <n v="65.52"/>
        <n v="45.79"/>
        <n v="52.25"/>
        <n v="34.32"/>
        <n v="37.84"/>
        <n v="68.06"/>
        <n v="44.24"/>
        <n v="25.27"/>
        <n v="68.29000000000001"/>
        <n v="22.51"/>
        <n v="37.75"/>
        <n v="16.9"/>
        <n v="27.53"/>
        <n v="50.35"/>
        <n v="26.21"/>
        <n v="57.32"/>
        <n v="124.07"/>
        <n v="7.76"/>
        <n v="19.64"/>
        <n v="24.29"/>
        <n v="43.76"/>
        <n v="35.86"/>
        <n v="108.72"/>
        <n v="92.98"/>
        <n v="41.84"/>
        <n v="15.49"/>
        <n v="27.57"/>
        <n v="51.32"/>
        <n v="61.74"/>
        <n v="139.66"/>
        <n v="128.33"/>
        <n v="70.13"/>
        <n v="90.13"/>
        <n v="34.07"/>
        <n v="70.43000000000001"/>
        <n v="29.21"/>
        <n v="35.27"/>
        <n v="64.43000000000001"/>
        <n v="43.36"/>
        <n v="48.17"/>
        <n v="40.91"/>
        <n v="26.84"/>
        <n v="23.89"/>
        <n v="52.54"/>
        <n v="21.74"/>
        <n v="39.46"/>
        <n v="15.92"/>
        <n v="45.62"/>
        <n v="67.47"/>
        <n v="64.03"/>
        <n v="35.2"/>
        <n v="29.74"/>
        <n v="118.84"/>
        <n v="77.90000000000001"/>
        <n v="69.23999999999999"/>
        <n v="38.95"/>
        <n v="11.98"/>
        <n v="23.11"/>
        <n v="36.16"/>
        <n v="23.42"/>
        <n v="31.17"/>
        <n v="43.7"/>
        <n v="16.31"/>
        <n v="67.3"/>
        <n v="5.47"/>
        <n v="18.68"/>
        <n v="64.59"/>
        <n v="41.71"/>
        <n v="90.09999999999999"/>
        <n v="50.11"/>
        <n v="49.89"/>
        <n v="26.06"/>
        <n v="25.7"/>
        <n v="32.94"/>
        <n v="15.54"/>
        <n v="24.25"/>
        <n v="24.59"/>
        <n v="36.53"/>
        <n v="60.67"/>
        <n v="37.3"/>
        <n v="32.09"/>
        <n v="14.51"/>
        <n v="27.48"/>
        <n v="7.26"/>
        <n v="46.68"/>
        <n v="30.9"/>
        <n v="35.87"/>
        <n v="63.41"/>
        <n v="43.8"/>
        <n v="60.01"/>
        <n v="108.45"/>
        <n v="66.51000000000001"/>
        <n v="51.49"/>
        <n v="60.35"/>
        <n v="44.95"/>
        <n v="39.99"/>
        <n v="40.03"/>
        <n v="6.78"/>
        <n v="22.89"/>
        <n v="63.71"/>
        <n v="46.85"/>
        <n v="73.89"/>
        <n v="21.05"/>
        <n v="67.41"/>
        <n v="40.31"/>
        <n v="99.65000000000001"/>
        <n v="42.25"/>
        <n v="14.49"/>
        <n v="38.09"/>
        <n v="93.63"/>
        <n v="38.87"/>
        <n v="68.70999999999999"/>
        <n v="37.53"/>
        <n v="120.87"/>
        <n v="9.17"/>
        <n v="77.3"/>
        <n v="52.11"/>
        <n v="32.75"/>
        <n v="20.57"/>
        <n v="141.84"/>
        <n v="19.99"/>
        <n v="22.36"/>
        <n v="35.05"/>
        <n v="35.89"/>
        <n v="39.25"/>
        <n v="25.63"/>
        <n v="25.75"/>
        <n v="37.65"/>
        <n v="39.19"/>
        <n v="21.88"/>
        <n v="33.99"/>
        <n v="43.98"/>
        <n v="40.09"/>
        <n v="38.47"/>
        <n v="57.99"/>
        <n v="45.37"/>
        <n v="39.34"/>
        <n v="16.85"/>
        <n v="56.18"/>
        <n v="30.65"/>
        <n v="29.3"/>
        <n v="16.52"/>
        <n v="43.52"/>
        <n v="25.05"/>
        <n v="14.32"/>
        <n v="52.21"/>
        <n v="82.02"/>
        <n v="166.93"/>
        <n v="9.08"/>
        <n v="25.52"/>
        <n v="46.74"/>
        <n v="58.78"/>
        <n v="26.93"/>
        <n v="104"/>
        <n v="86.27"/>
        <n v="20.94"/>
        <n v="90.08"/>
        <n v="29.26"/>
        <n v="34.71"/>
        <n v="51.64"/>
        <n v="50.94"/>
        <n v="29.06"/>
        <n v="38.02"/>
        <n v="58.39"/>
        <n v="8.75"/>
        <n v="61.75"/>
        <n v="61.08"/>
        <n v="54.12"/>
        <n v="30"/>
        <n v="38.82"/>
        <n v="191.13"/>
        <n v="76.78"/>
        <n v="46.78"/>
        <n v="14.22"/>
        <n v="59.19"/>
        <n v="109.7"/>
        <n v="32.79"/>
        <n v="18.29"/>
        <n v="59.41"/>
        <n v="47.25"/>
        <n v="31.58"/>
        <n v="28.83"/>
        <n v="50.02"/>
        <n v="22.09"/>
        <n v="134.75"/>
        <n v="73.68000000000001"/>
        <n v="30.51"/>
        <n v="89.48999999999999"/>
        <n v="73.17"/>
        <n v="102.43"/>
        <n v="101.19"/>
        <n v="38.34"/>
        <n v="33.25"/>
        <n v="9.32"/>
        <n v="23.08"/>
        <n v="72.45"/>
        <n v="43.82"/>
        <n v="19.32"/>
        <n v="66.06"/>
        <n v="88.84999999999999"/>
        <n v="81.95999999999999"/>
        <n v="44.37"/>
        <n v="33.43"/>
        <n v="8.220000000000001"/>
        <n v="71.93000000000001"/>
        <n v="73.52"/>
        <n v="98.69"/>
        <n v="25.6"/>
        <n v="28.13"/>
        <n v="25.15"/>
        <n v="40.6"/>
        <n v="35.97"/>
        <n v="30.85"/>
        <n v="90.73999999999999"/>
        <n v="39.56"/>
        <n v="18.76"/>
        <n v="67.36"/>
        <n v="16.04"/>
        <n v="90.83"/>
        <n v="70.55"/>
        <n v="55.95"/>
        <m/>
      </sharedItems>
    </cacheField>
    <cacheField name="SLA_Status" numFmtId="0">
      <sharedItems containsNonDate="0" containsBlank="1" count="3">
        <s v="Eingehalten"/>
        <s v="Verletzt"/>
        <m/>
      </sharedItems>
    </cacheField>
    <cacheField name="KOSTEN PRO MINUTE" numFmtId="0">
      <sharedItems containsNonDate="0" containsString="0" containsBlank="1" containsNumber="1" containsInteger="1" minValue="0.995" maxValue="2.05516129032258" count="393">
        <n v="1.46178571428571"/>
        <n v="1.1053125"/>
        <n v="1.43190476190476"/>
        <n v="1.24073170731707"/>
        <n v="1.63636363636364"/>
        <n v="1.44842105263158"/>
        <n v="1.60181818181818"/>
        <n v="1.14592592592593"/>
        <n v="1.58821428571429"/>
        <n v="1.73698113207547"/>
        <n v="1.73952380952381"/>
        <n v="1.14192307692308"/>
        <n v="1.40084745762712"/>
        <n v="1.24291666666667"/>
        <n v="1.0588"/>
        <n v="1.2545"/>
        <n v="1.50552631578947"/>
        <n v="2.022"/>
        <n v="1.36033333333333"/>
        <n v="1.51444444444444"/>
        <n v="1.81052631578947"/>
        <n v="1.53309523809524"/>
        <n v="1.16916666666667"/>
        <n v="1.37780487804878"/>
        <n v="1.01862068965517"/>
        <n v="1.23142857142857"/>
        <n v="1.7847619047619"/>
        <n v="1.34181818181818"/>
        <n v="1.69258064516129"/>
        <n v="1.40428571428571"/>
        <n v="1.185"/>
        <n v="1.20142857142857"/>
        <n v="1.09473684210526"/>
        <n v="1.24"/>
        <n v="1.4947619047619"/>
        <n v="1.57212121212121"/>
        <n v="1.861875"/>
        <n v="1.03090909090909"/>
        <n v="1.376"/>
        <n v="1.64869565217391"/>
        <n v="1.42833333333333"/>
        <n v="1.07"/>
        <n v="1.74641025641026"/>
        <n v="1.707"/>
        <n v="1.5284"/>
        <n v="1.60119047619048"/>
        <n v="1.5430612244898"/>
        <n v="1.7354347826087"/>
        <n v="1.08111111111111"/>
        <n v="1.7052"/>
        <n v="1.52833333333333"/>
        <n v="1.44552631578947"/>
        <n v="1.60444444444444"/>
        <n v="1.18631578947368"/>
        <n v="1.119375"/>
        <n v="1.35185185185185"/>
        <n v="1.69724137931034"/>
        <n v="1.47363636363636"/>
        <n v="1.13740740740741"/>
        <n v="1.35545454545455"/>
        <n v="1.96471264367816"/>
        <n v="1.2828"/>
        <n v="1.59875"/>
        <n v="1.175"/>
        <n v="1.38617647058824"/>
        <n v="1.16"/>
        <n v="1.36444444444444"/>
        <n v="1.46551724137931"/>
        <n v="1.72304347826087"/>
        <n v="1.82571428571429"/>
        <n v="1.24818181818182"/>
        <n v="1.20833333333333"/>
        <n v="1.2784"/>
        <n v="1.51628571428571"/>
        <n v="1.12333333333333"/>
        <n v="1.09736842105263"/>
        <n v="1.51133333333333"/>
        <n v="1.48542857142857"/>
        <n v="1.41088235294118"/>
        <n v="1.15823529411765"/>
        <n v="1.378125"/>
        <n v="1.53739130434783"/>
        <n v="1.37816326530612"/>
        <n v="1.76161290322581"/>
        <n v="1.09923076923077"/>
        <n v="1.61264705882353"/>
        <n v="1.6190625"/>
        <n v="1.06666666666667"/>
        <n v="1.6951724137931"/>
        <n v="1.69131578947368"/>
        <n v="1.45021739130435"/>
        <n v="0.996666666666667"/>
        <n v="1.82764705882353"/>
        <n v="1.7795"/>
        <n v="1.48166666666667"/>
        <n v="0.998518518518519"/>
        <n v="1.55666666666667"/>
        <n v="1.79923076923077"/>
        <n v="1.778"/>
        <n v="1.46225"/>
        <n v="1.104375"/>
        <n v="1.11777777777778"/>
        <n v="1.71142857142857"/>
        <n v="1.20375"/>
        <n v="1.61285714285714"/>
        <n v="1.61894736842105"/>
        <n v="1.22714285714286"/>
        <n v="1.54107142857143"/>
        <n v="1.56086956521739"/>
        <n v="1.37615384615385"/>
        <n v="1.74405405405405"/>
        <n v="1.622"/>
        <n v="1.476"/>
        <n v="1.37774193548387"/>
        <n v="1.03083333333333"/>
        <n v="1.49884615384615"/>
        <n v="1.0835"/>
        <n v="1.64632653061224"/>
        <n v="1.52153846153846"/>
        <n v="1.45333333333333"/>
        <n v="1.88723076923077"/>
        <n v="1.29146341463415"/>
        <n v="1.71916666666667"/>
        <n v="1.22"/>
        <n v="1.28060606060606"/>
        <n v="1.369"/>
        <n v="1.40261904761905"/>
        <n v="1.80666666666667"/>
        <n v="1.59974358974359"/>
        <n v="1.94771428571429"/>
        <n v="1.66947368421053"/>
        <n v="1.458"/>
        <n v="1.03583333333333"/>
        <n v="1.36489361702128"/>
        <n v="1.05566666666667"/>
        <n v="1.10416666666667"/>
        <n v="1.234"/>
        <n v="1.55370967741935"/>
        <n v="1.38434782608696"/>
        <n v="1.6047619047619"/>
        <n v="1.62577777777778"/>
        <n v="1.33521739130435"/>
        <n v="1.40666666666667"/>
        <n v="1.668125"/>
        <n v="1.45454545454545"/>
        <n v="1.21928571428571"/>
        <n v="1.63"/>
        <n v="1.21378378378378"/>
        <n v="1.26058823529412"/>
        <n v="1.74733333333333"/>
        <n v="1.15911111111111"/>
        <n v="1.61421052631579"/>
        <n v="1.19363636363636"/>
        <n v="1.19388888888889"/>
        <n v="1.045"/>
        <n v="1.44"/>
        <n v="1.640625"/>
        <n v="1.216"/>
        <n v="1.5156"/>
        <n v="1.88821428571429"/>
        <n v="1.55108108108108"/>
        <n v="1.29"/>
        <n v="1.71857142857143"/>
        <n v="1.80384615384615"/>
        <n v="1.15346153846154"/>
        <n v="1.25774193548387"/>
        <n v="1.46862068965517"/>
        <n v="1.09333333333333"/>
        <n v="1.26190476190476"/>
        <n v="1.0841935483871"/>
        <n v="1.34333333333333"/>
        <n v="1.68"/>
        <n v="1.63535714285714"/>
        <n v="1.49285714285714"/>
        <n v="1.716"/>
        <n v="1.35142857142857"/>
        <n v="1.54681818181818"/>
        <n v="1.70153846153846"/>
        <n v="1.68466666666667"/>
        <n v="1.4845652173913"/>
        <n v="1.18473684210526"/>
        <n v="1.21774193548387"/>
        <n v="1.05625"/>
        <n v="1.05884615384615"/>
        <n v="1.43857142857143"/>
        <n v="1.37947368421053"/>
        <n v="1.63771428571429"/>
        <n v="1.90876923076923"/>
        <n v="1.552"/>
        <n v="1.09111111111111"/>
        <n v="1.27842105263158"/>
        <n v="1.25028571428571"/>
        <n v="1.23655172413793"/>
        <n v="1.64727272727273"/>
        <n v="1.72185185185185"/>
        <n v="1.34967741935484"/>
        <n v="1.40818181818182"/>
        <n v="1.25318181818182"/>
        <n v="1.38702702702703"/>
        <n v="1.62473684210526"/>
        <n v="1.96704225352113"/>
        <n v="2.03698412698413"/>
        <n v="1.63093023255814"/>
        <n v="1.87770833333333"/>
        <n v="1.3628"/>
        <n v="1.71780487804878"/>
        <n v="1.1684"/>
        <n v="1.17566666666667"/>
        <n v="1.34229166666667"/>
        <n v="1.60592592592593"/>
        <n v="1.37628571428571"/>
        <n v="1.13638888888889"/>
        <n v="1.03230769230769"/>
        <n v="1.59266666666667"/>
        <n v="1.69483870967742"/>
        <n v="1.14421052631579"/>
        <n v="1.01179487179487"/>
        <n v="0.995"/>
        <n v="1.8248"/>
        <n v="1.87416666666667"/>
        <n v="1.82942857142857"/>
        <n v="1.3037037037037"/>
        <n v="1.65222222222222"/>
        <n v="1.98066666666667"/>
        <n v="1.558"/>
        <n v="1.61023255813953"/>
        <n v="1.29833333333333"/>
        <n v="1.21631578947368"/>
        <n v="1.06352941176471"/>
        <n v="1.01826086956522"/>
        <n v="1.35521739130435"/>
        <n v="1.61851851851852"/>
        <n v="1.25461538461538"/>
        <n v="1.77105263157895"/>
        <n v="1.094"/>
        <n v="1.09882352941176"/>
        <n v="1.46795454545455"/>
        <n v="1.1272972972973"/>
        <n v="1.76666666666667"/>
        <n v="1.43171428571429"/>
        <n v="1.48571428571429"/>
        <n v="1.46735294117647"/>
        <n v="1.62875"/>
        <n v="1.35263157894737"/>
        <n v="1.13586206896552"/>
        <n v="1.295"/>
        <n v="1.10227272727273"/>
        <n v="1.2295"/>
        <n v="1.1415625"/>
        <n v="1.37886363636364"/>
        <n v="1.24333333333333"/>
        <n v="1.14607142857143"/>
        <n v="1.03642857142857"/>
        <n v="1.01777777777778"/>
        <n v="1.21"/>
        <n v="1.60965517241379"/>
        <n v="1.14444444444444"/>
        <n v="1.5595652173913"/>
        <n v="1.40911111111111"/>
        <n v="1.62222222222222"/>
        <n v="1.66694444444444"/>
        <n v="1.7491935483871"/>
        <n v="1.70538461538462"/>
        <n v="1.43027777777778"/>
        <n v="1.23163265306122"/>
        <n v="1.45"/>
        <n v="1.21181818181818"/>
        <n v="1.6012"/>
        <n v="1.13"/>
        <n v="0.9952173913043481"/>
        <n v="1.67657894736842"/>
        <n v="1.51129032258065"/>
        <n v="1.4778"/>
        <n v="1.61923076923077"/>
        <n v="1.56767441860465"/>
        <n v="1.6124"/>
        <n v="1.63360655737705"/>
        <n v="1.56481481481481"/>
        <n v="1.035"/>
        <n v="1.65608695652174"/>
        <n v="1.64263157894737"/>
        <n v="1.76681818181818"/>
        <n v="1.71775"/>
        <n v="1.13727272727273"/>
        <n v="1.63337837837838"/>
        <n v="1.71777777777778"/>
        <n v="1.57909090909091"/>
        <n v="1.16964285714286"/>
        <n v="2.02628571428571"/>
        <n v="1.17588235294118"/>
        <n v="1.17684210526316"/>
        <n v="1.52391304347826"/>
        <n v="1.63136363636364"/>
        <n v="1.57"/>
        <n v="1.22047619047619"/>
        <n v="1.243"/>
        <n v="1.17045454545455"/>
        <n v="1.56875"/>
        <n v="1.08861111111111"/>
        <n v="1.45866666666667"/>
        <n v="1.47782608695652"/>
        <n v="1.466"/>
        <n v="1.33633333333333"/>
        <n v="1.32655172413793"/>
        <n v="1.65685714285714"/>
        <n v="1.745"/>
        <n v="1.63916666666667"/>
        <n v="1.29615384615385"/>
        <n v="1.51837837837838"/>
        <n v="1.09464285714286"/>
        <n v="1.22083333333333"/>
        <n v="1.18"/>
        <n v="1.61185185185185"/>
        <n v="1.08913043478261"/>
        <n v="1.19333333333333"/>
        <n v="1.6315625"/>
        <n v="1.67387755102041"/>
        <n v="1.96388235294118"/>
        <n v="1.00888888888889"/>
        <n v="1.2152380952381"/>
        <n v="1.8696"/>
        <n v="1.36697674418605"/>
        <n v="1.683125"/>
        <n v="1.65079365079365"/>
        <n v="1.43783333333333"/>
        <n v="1.396"/>
        <n v="1.4075"/>
        <n v="1.33"/>
        <n v="1.65285714285714"/>
        <n v="1.51882352941176"/>
        <n v="1.81928571428571"/>
        <n v="1.21083333333333"/>
        <n v="1.22645161290323"/>
        <n v="1.49717948717949"/>
        <n v="1.25"/>
        <n v="1.66891891891892"/>
        <n v="1.35733333333333"/>
        <n v="1.64"/>
        <n v="1.2"/>
        <n v="1.76454545454545"/>
        <n v="2.05516129032258"/>
        <n v="1.37107142857143"/>
        <n v="1.26432432432432"/>
        <n v="1.01571428571429"/>
        <n v="1.973"/>
        <n v="1.92456140350877"/>
        <n v="1.56961538461538"/>
        <n v="1.36625"/>
        <n v="1.01611111111111"/>
        <n v="1.91645161290323"/>
        <n v="1.5241935483871"/>
        <n v="1.2632"/>
        <n v="1.1532"/>
        <n v="1.38944444444444"/>
        <n v="1.1045"/>
        <n v="1.70569620253165"/>
        <n v="1.38681818181818"/>
        <n v="1.68849056603774"/>
        <n v="1.524375"/>
        <n v="1.60046875"/>
        <n v="1.71508474576271"/>
        <n v="1.36928571428571"/>
        <n v="1.07258064516129"/>
        <n v="1.55333333333333"/>
        <n v="1.09904761904762"/>
        <n v="2.0125"/>
        <n v="1.41354838709677"/>
        <n v="1.2075"/>
        <n v="2.00181818181818"/>
        <n v="1.58660714285714"/>
        <n v="1.57615384615385"/>
        <n v="1.16763157894737"/>
        <n v="1.19392857142857"/>
        <n v="1.17428571428571"/>
        <n v="1.89289473684211"/>
        <n v="1.53166666666667"/>
        <n v="1.39"/>
        <n v="1.70666666666667"/>
        <n v="1.758125"/>
        <n v="1.006"/>
        <n v="1.1547619047619"/>
        <n v="1.19411764705882"/>
        <n v="1.635"/>
        <n v="1.40227272727273"/>
        <n v="1.93063829787234"/>
        <n v="1.72"/>
        <n v="1.25066666666667"/>
        <n v="1.77263157894737"/>
        <n v="1.0025"/>
        <n v="1.53949152542373"/>
        <n v="1.85657894736842"/>
        <n v="1.19042553191489"/>
        <m/>
      </sharedItems>
    </cacheField>
    <cacheField name="Bearbeitungsdauer pro Interval1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nterval2" numFmtId="0">
      <sharedItems containsNonDate="0" containsBlank="1" count="6">
        <s v="20–40"/>
        <s v="40–60"/>
        <s v="0–20"/>
        <s v="80–100"/>
        <s v="60–80"/>
        <m/>
      </sharedItems>
    </cacheField>
    <cacheField name="Ist Spalte F leer?" numFmtId="0">
      <sharedItems containsNonDate="0" containsBlank="1" count="2">
        <b v="0"/>
        <m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399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</r>
  <r>
    <x v="2"/>
    <x v="1"/>
    <x v="2"/>
    <x v="2"/>
    <x v="2"/>
    <x v="2"/>
    <x v="2"/>
    <x v="0"/>
    <x v="0"/>
  </r>
  <r>
    <x v="3"/>
    <x v="1"/>
    <x v="3"/>
    <x v="3"/>
    <x v="3"/>
    <x v="3"/>
    <x v="3"/>
    <x v="1"/>
    <x v="0"/>
  </r>
  <r>
    <x v="4"/>
    <x v="2"/>
    <x v="4"/>
    <x v="4"/>
    <x v="4"/>
    <x v="4"/>
    <x v="4"/>
    <x v="0"/>
    <x v="0"/>
  </r>
  <r>
    <x v="5"/>
    <x v="3"/>
    <x v="2"/>
    <x v="5"/>
    <x v="5"/>
    <x v="5"/>
    <x v="5"/>
    <x v="0"/>
    <x v="0"/>
  </r>
  <r>
    <x v="6"/>
    <x v="4"/>
    <x v="2"/>
    <x v="5"/>
    <x v="2"/>
    <x v="4"/>
    <x v="6"/>
    <x v="0"/>
    <x v="0"/>
  </r>
  <r>
    <x v="7"/>
    <x v="5"/>
    <x v="3"/>
    <x v="6"/>
    <x v="6"/>
    <x v="6"/>
    <x v="7"/>
    <x v="0"/>
    <x v="0"/>
  </r>
  <r>
    <x v="8"/>
    <x v="5"/>
    <x v="2"/>
    <x v="7"/>
    <x v="2"/>
    <x v="0"/>
    <x v="8"/>
    <x v="0"/>
    <x v="0"/>
  </r>
  <r>
    <x v="9"/>
    <x v="6"/>
    <x v="4"/>
    <x v="8"/>
    <x v="7"/>
    <x v="7"/>
    <x v="9"/>
    <x v="0"/>
    <x v="0"/>
  </r>
  <r>
    <x v="10"/>
    <x v="6"/>
    <x v="4"/>
    <x v="8"/>
    <x v="7"/>
    <x v="2"/>
    <x v="10"/>
    <x v="0"/>
    <x v="0"/>
  </r>
  <r>
    <x v="11"/>
    <x v="7"/>
    <x v="1"/>
    <x v="9"/>
    <x v="8"/>
    <x v="8"/>
    <x v="11"/>
    <x v="0"/>
    <x v="0"/>
  </r>
  <r>
    <x v="12"/>
    <x v="8"/>
    <x v="2"/>
    <x v="7"/>
    <x v="2"/>
    <x v="9"/>
    <x v="12"/>
    <x v="1"/>
    <x v="0"/>
  </r>
  <r>
    <x v="13"/>
    <x v="8"/>
    <x v="1"/>
    <x v="9"/>
    <x v="1"/>
    <x v="10"/>
    <x v="13"/>
    <x v="0"/>
    <x v="0"/>
  </r>
  <r>
    <x v="14"/>
    <x v="9"/>
    <x v="1"/>
    <x v="9"/>
    <x v="8"/>
    <x v="11"/>
    <x v="14"/>
    <x v="0"/>
    <x v="0"/>
  </r>
  <r>
    <x v="15"/>
    <x v="9"/>
    <x v="1"/>
    <x v="1"/>
    <x v="8"/>
    <x v="12"/>
    <x v="15"/>
    <x v="0"/>
    <x v="0"/>
  </r>
  <r>
    <x v="16"/>
    <x v="10"/>
    <x v="2"/>
    <x v="7"/>
    <x v="6"/>
    <x v="13"/>
    <x v="16"/>
    <x v="0"/>
    <x v="0"/>
  </r>
  <r>
    <x v="17"/>
    <x v="10"/>
    <x v="4"/>
    <x v="8"/>
    <x v="9"/>
    <x v="14"/>
    <x v="17"/>
    <x v="0"/>
    <x v="0"/>
  </r>
  <r>
    <x v="18"/>
    <x v="10"/>
    <x v="3"/>
    <x v="6"/>
    <x v="6"/>
    <x v="15"/>
    <x v="18"/>
    <x v="0"/>
    <x v="0"/>
  </r>
  <r>
    <x v="19"/>
    <x v="11"/>
    <x v="2"/>
    <x v="5"/>
    <x v="5"/>
    <x v="6"/>
    <x v="19"/>
    <x v="0"/>
    <x v="0"/>
  </r>
  <r>
    <x v="20"/>
    <x v="12"/>
    <x v="0"/>
    <x v="10"/>
    <x v="4"/>
    <x v="13"/>
    <x v="20"/>
    <x v="0"/>
    <x v="0"/>
  </r>
  <r>
    <x v="21"/>
    <x v="12"/>
    <x v="0"/>
    <x v="10"/>
    <x v="10"/>
    <x v="2"/>
    <x v="21"/>
    <x v="0"/>
    <x v="0"/>
  </r>
  <r>
    <x v="22"/>
    <x v="13"/>
    <x v="1"/>
    <x v="1"/>
    <x v="3"/>
    <x v="16"/>
    <x v="22"/>
    <x v="0"/>
    <x v="0"/>
  </r>
  <r>
    <x v="23"/>
    <x v="13"/>
    <x v="2"/>
    <x v="7"/>
    <x v="2"/>
    <x v="3"/>
    <x v="23"/>
    <x v="0"/>
    <x v="0"/>
  </r>
  <r>
    <x v="24"/>
    <x v="13"/>
    <x v="1"/>
    <x v="1"/>
    <x v="1"/>
    <x v="17"/>
    <x v="24"/>
    <x v="0"/>
    <x v="0"/>
  </r>
  <r>
    <x v="25"/>
    <x v="13"/>
    <x v="3"/>
    <x v="6"/>
    <x v="11"/>
    <x v="18"/>
    <x v="25"/>
    <x v="0"/>
    <x v="0"/>
  </r>
  <r>
    <x v="26"/>
    <x v="14"/>
    <x v="0"/>
    <x v="10"/>
    <x v="4"/>
    <x v="18"/>
    <x v="26"/>
    <x v="0"/>
    <x v="0"/>
  </r>
  <r>
    <x v="27"/>
    <x v="14"/>
    <x v="3"/>
    <x v="6"/>
    <x v="6"/>
    <x v="19"/>
    <x v="27"/>
    <x v="0"/>
    <x v="0"/>
  </r>
  <r>
    <x v="28"/>
    <x v="15"/>
    <x v="2"/>
    <x v="5"/>
    <x v="5"/>
    <x v="20"/>
    <x v="28"/>
    <x v="0"/>
    <x v="0"/>
  </r>
  <r>
    <x v="29"/>
    <x v="15"/>
    <x v="2"/>
    <x v="7"/>
    <x v="5"/>
    <x v="21"/>
    <x v="29"/>
    <x v="0"/>
    <x v="0"/>
  </r>
  <r>
    <x v="30"/>
    <x v="15"/>
    <x v="1"/>
    <x v="9"/>
    <x v="1"/>
    <x v="10"/>
    <x v="30"/>
    <x v="0"/>
    <x v="0"/>
  </r>
  <r>
    <x v="31"/>
    <x v="16"/>
    <x v="1"/>
    <x v="9"/>
    <x v="1"/>
    <x v="0"/>
    <x v="31"/>
    <x v="0"/>
    <x v="0"/>
  </r>
  <r>
    <x v="32"/>
    <x v="16"/>
    <x v="3"/>
    <x v="6"/>
    <x v="6"/>
    <x v="5"/>
    <x v="32"/>
    <x v="0"/>
    <x v="0"/>
  </r>
  <r>
    <x v="33"/>
    <x v="17"/>
    <x v="1"/>
    <x v="1"/>
    <x v="1"/>
    <x v="22"/>
    <x v="33"/>
    <x v="0"/>
    <x v="0"/>
  </r>
  <r>
    <x v="34"/>
    <x v="18"/>
    <x v="2"/>
    <x v="2"/>
    <x v="6"/>
    <x v="18"/>
    <x v="34"/>
    <x v="0"/>
    <x v="0"/>
  </r>
  <r>
    <x v="35"/>
    <x v="19"/>
    <x v="0"/>
    <x v="10"/>
    <x v="4"/>
    <x v="19"/>
    <x v="35"/>
    <x v="0"/>
    <x v="0"/>
  </r>
  <r>
    <x v="36"/>
    <x v="20"/>
    <x v="4"/>
    <x v="4"/>
    <x v="7"/>
    <x v="1"/>
    <x v="36"/>
    <x v="0"/>
    <x v="0"/>
  </r>
  <r>
    <x v="37"/>
    <x v="20"/>
    <x v="1"/>
    <x v="1"/>
    <x v="8"/>
    <x v="23"/>
    <x v="37"/>
    <x v="0"/>
    <x v="0"/>
  </r>
  <r>
    <x v="38"/>
    <x v="20"/>
    <x v="3"/>
    <x v="3"/>
    <x v="3"/>
    <x v="14"/>
    <x v="38"/>
    <x v="0"/>
    <x v="0"/>
  </r>
  <r>
    <x v="39"/>
    <x v="20"/>
    <x v="4"/>
    <x v="8"/>
    <x v="4"/>
    <x v="24"/>
    <x v="39"/>
    <x v="0"/>
    <x v="0"/>
  </r>
  <r>
    <x v="40"/>
    <x v="20"/>
    <x v="2"/>
    <x v="2"/>
    <x v="6"/>
    <x v="15"/>
    <x v="40"/>
    <x v="0"/>
    <x v="0"/>
  </r>
  <r>
    <x v="41"/>
    <x v="21"/>
    <x v="1"/>
    <x v="1"/>
    <x v="8"/>
    <x v="23"/>
    <x v="41"/>
    <x v="0"/>
    <x v="0"/>
  </r>
  <r>
    <x v="42"/>
    <x v="22"/>
    <x v="0"/>
    <x v="10"/>
    <x v="10"/>
    <x v="25"/>
    <x v="42"/>
    <x v="0"/>
    <x v="0"/>
  </r>
  <r>
    <x v="43"/>
    <x v="22"/>
    <x v="2"/>
    <x v="2"/>
    <x v="6"/>
    <x v="15"/>
    <x v="43"/>
    <x v="0"/>
    <x v="0"/>
  </r>
  <r>
    <x v="44"/>
    <x v="22"/>
    <x v="2"/>
    <x v="7"/>
    <x v="5"/>
    <x v="11"/>
    <x v="44"/>
    <x v="0"/>
    <x v="0"/>
  </r>
  <r>
    <x v="45"/>
    <x v="22"/>
    <x v="2"/>
    <x v="7"/>
    <x v="6"/>
    <x v="2"/>
    <x v="45"/>
    <x v="0"/>
    <x v="0"/>
  </r>
  <r>
    <x v="46"/>
    <x v="23"/>
    <x v="2"/>
    <x v="7"/>
    <x v="2"/>
    <x v="26"/>
    <x v="46"/>
    <x v="0"/>
    <x v="0"/>
  </r>
  <r>
    <x v="47"/>
    <x v="23"/>
    <x v="0"/>
    <x v="10"/>
    <x v="10"/>
    <x v="24"/>
    <x v="47"/>
    <x v="1"/>
    <x v="0"/>
  </r>
  <r>
    <x v="48"/>
    <x v="24"/>
    <x v="3"/>
    <x v="3"/>
    <x v="3"/>
    <x v="6"/>
    <x v="48"/>
    <x v="0"/>
    <x v="0"/>
  </r>
  <r>
    <x v="49"/>
    <x v="24"/>
    <x v="2"/>
    <x v="5"/>
    <x v="5"/>
    <x v="27"/>
    <x v="49"/>
    <x v="0"/>
    <x v="0"/>
  </r>
  <r>
    <x v="50"/>
    <x v="24"/>
    <x v="2"/>
    <x v="7"/>
    <x v="6"/>
    <x v="16"/>
    <x v="50"/>
    <x v="0"/>
    <x v="0"/>
  </r>
  <r>
    <x v="51"/>
    <x v="25"/>
    <x v="2"/>
    <x v="7"/>
    <x v="6"/>
    <x v="13"/>
    <x v="51"/>
    <x v="0"/>
    <x v="0"/>
  </r>
  <r>
    <x v="52"/>
    <x v="26"/>
    <x v="0"/>
    <x v="0"/>
    <x v="0"/>
    <x v="28"/>
    <x v="52"/>
    <x v="0"/>
    <x v="0"/>
  </r>
  <r>
    <x v="53"/>
    <x v="26"/>
    <x v="3"/>
    <x v="6"/>
    <x v="3"/>
    <x v="5"/>
    <x v="53"/>
    <x v="0"/>
    <x v="0"/>
  </r>
  <r>
    <x v="54"/>
    <x v="27"/>
    <x v="3"/>
    <x v="6"/>
    <x v="6"/>
    <x v="22"/>
    <x v="54"/>
    <x v="0"/>
    <x v="0"/>
  </r>
  <r>
    <x v="55"/>
    <x v="27"/>
    <x v="2"/>
    <x v="2"/>
    <x v="5"/>
    <x v="29"/>
    <x v="55"/>
    <x v="1"/>
    <x v="0"/>
  </r>
  <r>
    <x v="56"/>
    <x v="28"/>
    <x v="2"/>
    <x v="2"/>
    <x v="5"/>
    <x v="30"/>
    <x v="56"/>
    <x v="1"/>
    <x v="0"/>
  </r>
  <r>
    <x v="57"/>
    <x v="28"/>
    <x v="0"/>
    <x v="10"/>
    <x v="0"/>
    <x v="23"/>
    <x v="57"/>
    <x v="0"/>
    <x v="0"/>
  </r>
  <r>
    <x v="58"/>
    <x v="29"/>
    <x v="1"/>
    <x v="1"/>
    <x v="8"/>
    <x v="6"/>
    <x v="58"/>
    <x v="0"/>
    <x v="0"/>
  </r>
  <r>
    <x v="59"/>
    <x v="30"/>
    <x v="2"/>
    <x v="2"/>
    <x v="5"/>
    <x v="4"/>
    <x v="59"/>
    <x v="0"/>
    <x v="0"/>
  </r>
  <r>
    <x v="60"/>
    <x v="30"/>
    <x v="4"/>
    <x v="8"/>
    <x v="4"/>
    <x v="31"/>
    <x v="60"/>
    <x v="1"/>
    <x v="0"/>
  </r>
  <r>
    <x v="61"/>
    <x v="31"/>
    <x v="3"/>
    <x v="6"/>
    <x v="3"/>
    <x v="11"/>
    <x v="61"/>
    <x v="0"/>
    <x v="0"/>
  </r>
  <r>
    <x v="62"/>
    <x v="32"/>
    <x v="0"/>
    <x v="0"/>
    <x v="4"/>
    <x v="10"/>
    <x v="62"/>
    <x v="0"/>
    <x v="0"/>
  </r>
  <r>
    <x v="63"/>
    <x v="33"/>
    <x v="3"/>
    <x v="3"/>
    <x v="6"/>
    <x v="16"/>
    <x v="63"/>
    <x v="0"/>
    <x v="0"/>
  </r>
  <r>
    <x v="64"/>
    <x v="33"/>
    <x v="2"/>
    <x v="5"/>
    <x v="2"/>
    <x v="32"/>
    <x v="64"/>
    <x v="0"/>
    <x v="0"/>
  </r>
  <r>
    <x v="65"/>
    <x v="34"/>
    <x v="1"/>
    <x v="1"/>
    <x v="3"/>
    <x v="33"/>
    <x v="65"/>
    <x v="0"/>
    <x v="0"/>
  </r>
  <r>
    <x v="66"/>
    <x v="35"/>
    <x v="3"/>
    <x v="6"/>
    <x v="6"/>
    <x v="6"/>
    <x v="66"/>
    <x v="0"/>
    <x v="0"/>
  </r>
  <r>
    <x v="67"/>
    <x v="35"/>
    <x v="0"/>
    <x v="10"/>
    <x v="10"/>
    <x v="17"/>
    <x v="67"/>
    <x v="0"/>
    <x v="0"/>
  </r>
  <r>
    <x v="68"/>
    <x v="35"/>
    <x v="2"/>
    <x v="2"/>
    <x v="6"/>
    <x v="34"/>
    <x v="68"/>
    <x v="0"/>
    <x v="0"/>
  </r>
  <r>
    <x v="69"/>
    <x v="36"/>
    <x v="0"/>
    <x v="10"/>
    <x v="0"/>
    <x v="35"/>
    <x v="69"/>
    <x v="0"/>
    <x v="0"/>
  </r>
  <r>
    <x v="70"/>
    <x v="36"/>
    <x v="1"/>
    <x v="1"/>
    <x v="1"/>
    <x v="4"/>
    <x v="70"/>
    <x v="0"/>
    <x v="0"/>
  </r>
  <r>
    <x v="71"/>
    <x v="37"/>
    <x v="3"/>
    <x v="3"/>
    <x v="3"/>
    <x v="10"/>
    <x v="71"/>
    <x v="0"/>
    <x v="0"/>
  </r>
  <r>
    <x v="72"/>
    <x v="37"/>
    <x v="3"/>
    <x v="6"/>
    <x v="3"/>
    <x v="11"/>
    <x v="72"/>
    <x v="0"/>
    <x v="0"/>
  </r>
  <r>
    <x v="73"/>
    <x v="38"/>
    <x v="0"/>
    <x v="0"/>
    <x v="4"/>
    <x v="14"/>
    <x v="73"/>
    <x v="0"/>
    <x v="0"/>
  </r>
  <r>
    <x v="74"/>
    <x v="38"/>
    <x v="1"/>
    <x v="1"/>
    <x v="8"/>
    <x v="18"/>
    <x v="74"/>
    <x v="0"/>
    <x v="0"/>
  </r>
  <r>
    <x v="75"/>
    <x v="38"/>
    <x v="3"/>
    <x v="3"/>
    <x v="6"/>
    <x v="5"/>
    <x v="75"/>
    <x v="0"/>
    <x v="0"/>
  </r>
  <r>
    <x v="76"/>
    <x v="39"/>
    <x v="0"/>
    <x v="0"/>
    <x v="4"/>
    <x v="36"/>
    <x v="76"/>
    <x v="0"/>
    <x v="0"/>
  </r>
  <r>
    <x v="77"/>
    <x v="40"/>
    <x v="2"/>
    <x v="7"/>
    <x v="2"/>
    <x v="14"/>
    <x v="77"/>
    <x v="0"/>
    <x v="0"/>
  </r>
  <r>
    <x v="78"/>
    <x v="40"/>
    <x v="2"/>
    <x v="2"/>
    <x v="5"/>
    <x v="32"/>
    <x v="78"/>
    <x v="0"/>
    <x v="0"/>
  </r>
  <r>
    <x v="79"/>
    <x v="40"/>
    <x v="3"/>
    <x v="6"/>
    <x v="3"/>
    <x v="32"/>
    <x v="79"/>
    <x v="0"/>
    <x v="0"/>
  </r>
  <r>
    <x v="80"/>
    <x v="41"/>
    <x v="2"/>
    <x v="2"/>
    <x v="2"/>
    <x v="1"/>
    <x v="80"/>
    <x v="0"/>
    <x v="0"/>
  </r>
  <r>
    <x v="81"/>
    <x v="41"/>
    <x v="2"/>
    <x v="2"/>
    <x v="5"/>
    <x v="34"/>
    <x v="81"/>
    <x v="0"/>
    <x v="0"/>
  </r>
  <r>
    <x v="82"/>
    <x v="42"/>
    <x v="2"/>
    <x v="5"/>
    <x v="6"/>
    <x v="26"/>
    <x v="82"/>
    <x v="0"/>
    <x v="0"/>
  </r>
  <r>
    <x v="83"/>
    <x v="43"/>
    <x v="0"/>
    <x v="10"/>
    <x v="4"/>
    <x v="20"/>
    <x v="83"/>
    <x v="0"/>
    <x v="0"/>
  </r>
  <r>
    <x v="84"/>
    <x v="44"/>
    <x v="3"/>
    <x v="3"/>
    <x v="6"/>
    <x v="8"/>
    <x v="84"/>
    <x v="0"/>
    <x v="0"/>
  </r>
  <r>
    <x v="85"/>
    <x v="44"/>
    <x v="0"/>
    <x v="0"/>
    <x v="4"/>
    <x v="32"/>
    <x v="85"/>
    <x v="0"/>
    <x v="0"/>
  </r>
  <r>
    <x v="86"/>
    <x v="45"/>
    <x v="2"/>
    <x v="2"/>
    <x v="2"/>
    <x v="37"/>
    <x v="86"/>
    <x v="1"/>
    <x v="0"/>
  </r>
  <r>
    <x v="87"/>
    <x v="45"/>
    <x v="1"/>
    <x v="9"/>
    <x v="1"/>
    <x v="33"/>
    <x v="87"/>
    <x v="0"/>
    <x v="0"/>
  </r>
  <r>
    <x v="88"/>
    <x v="46"/>
    <x v="0"/>
    <x v="0"/>
    <x v="0"/>
    <x v="17"/>
    <x v="88"/>
    <x v="0"/>
    <x v="0"/>
  </r>
  <r>
    <x v="89"/>
    <x v="47"/>
    <x v="2"/>
    <x v="2"/>
    <x v="2"/>
    <x v="13"/>
    <x v="89"/>
    <x v="0"/>
    <x v="0"/>
  </r>
  <r>
    <x v="90"/>
    <x v="48"/>
    <x v="2"/>
    <x v="5"/>
    <x v="6"/>
    <x v="24"/>
    <x v="90"/>
    <x v="0"/>
    <x v="0"/>
  </r>
  <r>
    <x v="91"/>
    <x v="48"/>
    <x v="1"/>
    <x v="9"/>
    <x v="8"/>
    <x v="16"/>
    <x v="91"/>
    <x v="0"/>
    <x v="0"/>
  </r>
  <r>
    <x v="92"/>
    <x v="49"/>
    <x v="0"/>
    <x v="10"/>
    <x v="0"/>
    <x v="38"/>
    <x v="92"/>
    <x v="0"/>
    <x v="0"/>
  </r>
  <r>
    <x v="93"/>
    <x v="50"/>
    <x v="4"/>
    <x v="4"/>
    <x v="4"/>
    <x v="12"/>
    <x v="93"/>
    <x v="0"/>
    <x v="0"/>
  </r>
  <r>
    <x v="94"/>
    <x v="51"/>
    <x v="2"/>
    <x v="7"/>
    <x v="5"/>
    <x v="10"/>
    <x v="94"/>
    <x v="0"/>
    <x v="0"/>
  </r>
  <r>
    <x v="95"/>
    <x v="51"/>
    <x v="1"/>
    <x v="1"/>
    <x v="3"/>
    <x v="6"/>
    <x v="95"/>
    <x v="0"/>
    <x v="0"/>
  </r>
  <r>
    <x v="96"/>
    <x v="52"/>
    <x v="2"/>
    <x v="5"/>
    <x v="2"/>
    <x v="28"/>
    <x v="96"/>
    <x v="0"/>
    <x v="0"/>
  </r>
  <r>
    <x v="97"/>
    <x v="53"/>
    <x v="4"/>
    <x v="4"/>
    <x v="7"/>
    <x v="25"/>
    <x v="97"/>
    <x v="0"/>
    <x v="0"/>
  </r>
  <r>
    <x v="98"/>
    <x v="54"/>
    <x v="0"/>
    <x v="0"/>
    <x v="10"/>
    <x v="39"/>
    <x v="98"/>
    <x v="0"/>
    <x v="0"/>
  </r>
  <r>
    <x v="99"/>
    <x v="55"/>
    <x v="0"/>
    <x v="0"/>
    <x v="4"/>
    <x v="40"/>
    <x v="99"/>
    <x v="0"/>
    <x v="0"/>
  </r>
  <r>
    <x v="100"/>
    <x v="56"/>
    <x v="3"/>
    <x v="3"/>
    <x v="6"/>
    <x v="22"/>
    <x v="100"/>
    <x v="0"/>
    <x v="0"/>
  </r>
  <r>
    <x v="101"/>
    <x v="57"/>
    <x v="3"/>
    <x v="6"/>
    <x v="3"/>
    <x v="6"/>
    <x v="101"/>
    <x v="0"/>
    <x v="0"/>
  </r>
  <r>
    <x v="102"/>
    <x v="58"/>
    <x v="0"/>
    <x v="10"/>
    <x v="0"/>
    <x v="18"/>
    <x v="102"/>
    <x v="0"/>
    <x v="0"/>
  </r>
  <r>
    <x v="103"/>
    <x v="58"/>
    <x v="1"/>
    <x v="1"/>
    <x v="3"/>
    <x v="41"/>
    <x v="103"/>
    <x v="0"/>
    <x v="0"/>
  </r>
  <r>
    <x v="104"/>
    <x v="59"/>
    <x v="2"/>
    <x v="2"/>
    <x v="2"/>
    <x v="35"/>
    <x v="104"/>
    <x v="0"/>
    <x v="0"/>
  </r>
  <r>
    <x v="105"/>
    <x v="59"/>
    <x v="0"/>
    <x v="10"/>
    <x v="10"/>
    <x v="5"/>
    <x v="105"/>
    <x v="0"/>
    <x v="0"/>
  </r>
  <r>
    <x v="106"/>
    <x v="60"/>
    <x v="1"/>
    <x v="9"/>
    <x v="8"/>
    <x v="21"/>
    <x v="106"/>
    <x v="0"/>
    <x v="0"/>
  </r>
  <r>
    <x v="107"/>
    <x v="61"/>
    <x v="2"/>
    <x v="5"/>
    <x v="2"/>
    <x v="0"/>
    <x v="107"/>
    <x v="0"/>
    <x v="0"/>
  </r>
  <r>
    <x v="108"/>
    <x v="62"/>
    <x v="2"/>
    <x v="2"/>
    <x v="2"/>
    <x v="24"/>
    <x v="108"/>
    <x v="0"/>
    <x v="0"/>
  </r>
  <r>
    <x v="109"/>
    <x v="63"/>
    <x v="2"/>
    <x v="2"/>
    <x v="2"/>
    <x v="8"/>
    <x v="109"/>
    <x v="0"/>
    <x v="0"/>
  </r>
  <r>
    <x v="110"/>
    <x v="63"/>
    <x v="0"/>
    <x v="0"/>
    <x v="4"/>
    <x v="42"/>
    <x v="110"/>
    <x v="0"/>
    <x v="0"/>
  </r>
  <r>
    <x v="111"/>
    <x v="64"/>
    <x v="2"/>
    <x v="7"/>
    <x v="2"/>
    <x v="15"/>
    <x v="111"/>
    <x v="0"/>
    <x v="0"/>
  </r>
  <r>
    <x v="112"/>
    <x v="64"/>
    <x v="2"/>
    <x v="5"/>
    <x v="5"/>
    <x v="39"/>
    <x v="112"/>
    <x v="0"/>
    <x v="0"/>
  </r>
  <r>
    <x v="113"/>
    <x v="64"/>
    <x v="2"/>
    <x v="2"/>
    <x v="6"/>
    <x v="20"/>
    <x v="113"/>
    <x v="0"/>
    <x v="0"/>
  </r>
  <r>
    <x v="114"/>
    <x v="65"/>
    <x v="1"/>
    <x v="9"/>
    <x v="1"/>
    <x v="10"/>
    <x v="114"/>
    <x v="0"/>
    <x v="0"/>
  </r>
  <r>
    <x v="115"/>
    <x v="65"/>
    <x v="2"/>
    <x v="5"/>
    <x v="6"/>
    <x v="43"/>
    <x v="115"/>
    <x v="1"/>
    <x v="0"/>
  </r>
  <r>
    <x v="116"/>
    <x v="66"/>
    <x v="0"/>
    <x v="10"/>
    <x v="4"/>
    <x v="8"/>
    <x v="116"/>
    <x v="0"/>
    <x v="0"/>
  </r>
  <r>
    <x v="117"/>
    <x v="66"/>
    <x v="3"/>
    <x v="3"/>
    <x v="11"/>
    <x v="12"/>
    <x v="117"/>
    <x v="0"/>
    <x v="0"/>
  </r>
  <r>
    <x v="118"/>
    <x v="67"/>
    <x v="4"/>
    <x v="8"/>
    <x v="9"/>
    <x v="26"/>
    <x v="118"/>
    <x v="0"/>
    <x v="0"/>
  </r>
  <r>
    <x v="119"/>
    <x v="67"/>
    <x v="1"/>
    <x v="9"/>
    <x v="1"/>
    <x v="44"/>
    <x v="119"/>
    <x v="0"/>
    <x v="0"/>
  </r>
  <r>
    <x v="120"/>
    <x v="67"/>
    <x v="2"/>
    <x v="5"/>
    <x v="2"/>
    <x v="45"/>
    <x v="120"/>
    <x v="0"/>
    <x v="0"/>
  </r>
  <r>
    <x v="121"/>
    <x v="67"/>
    <x v="2"/>
    <x v="5"/>
    <x v="6"/>
    <x v="18"/>
    <x v="121"/>
    <x v="0"/>
    <x v="0"/>
  </r>
  <r>
    <x v="122"/>
    <x v="68"/>
    <x v="4"/>
    <x v="4"/>
    <x v="7"/>
    <x v="46"/>
    <x v="122"/>
    <x v="0"/>
    <x v="0"/>
  </r>
  <r>
    <x v="123"/>
    <x v="68"/>
    <x v="3"/>
    <x v="6"/>
    <x v="11"/>
    <x v="3"/>
    <x v="123"/>
    <x v="1"/>
    <x v="0"/>
  </r>
  <r>
    <x v="124"/>
    <x v="68"/>
    <x v="2"/>
    <x v="7"/>
    <x v="2"/>
    <x v="16"/>
    <x v="124"/>
    <x v="0"/>
    <x v="0"/>
  </r>
  <r>
    <x v="125"/>
    <x v="68"/>
    <x v="3"/>
    <x v="3"/>
    <x v="11"/>
    <x v="47"/>
    <x v="125"/>
    <x v="0"/>
    <x v="0"/>
  </r>
  <r>
    <x v="126"/>
    <x v="69"/>
    <x v="3"/>
    <x v="6"/>
    <x v="6"/>
    <x v="19"/>
    <x v="126"/>
    <x v="0"/>
    <x v="0"/>
  </r>
  <r>
    <x v="127"/>
    <x v="69"/>
    <x v="2"/>
    <x v="7"/>
    <x v="2"/>
    <x v="40"/>
    <x v="127"/>
    <x v="0"/>
    <x v="0"/>
  </r>
  <r>
    <x v="128"/>
    <x v="70"/>
    <x v="2"/>
    <x v="2"/>
    <x v="5"/>
    <x v="2"/>
    <x v="128"/>
    <x v="0"/>
    <x v="0"/>
  </r>
  <r>
    <x v="129"/>
    <x v="71"/>
    <x v="0"/>
    <x v="10"/>
    <x v="0"/>
    <x v="36"/>
    <x v="129"/>
    <x v="0"/>
    <x v="0"/>
  </r>
  <r>
    <x v="130"/>
    <x v="72"/>
    <x v="0"/>
    <x v="0"/>
    <x v="10"/>
    <x v="25"/>
    <x v="130"/>
    <x v="0"/>
    <x v="0"/>
  </r>
  <r>
    <x v="131"/>
    <x v="73"/>
    <x v="4"/>
    <x v="8"/>
    <x v="9"/>
    <x v="14"/>
    <x v="131"/>
    <x v="0"/>
    <x v="0"/>
  </r>
  <r>
    <x v="132"/>
    <x v="73"/>
    <x v="2"/>
    <x v="2"/>
    <x v="5"/>
    <x v="5"/>
    <x v="132"/>
    <x v="0"/>
    <x v="0"/>
  </r>
  <r>
    <x v="133"/>
    <x v="73"/>
    <x v="0"/>
    <x v="0"/>
    <x v="0"/>
    <x v="11"/>
    <x v="133"/>
    <x v="0"/>
    <x v="0"/>
  </r>
  <r>
    <x v="134"/>
    <x v="74"/>
    <x v="1"/>
    <x v="9"/>
    <x v="3"/>
    <x v="10"/>
    <x v="134"/>
    <x v="0"/>
    <x v="0"/>
  </r>
  <r>
    <x v="135"/>
    <x v="75"/>
    <x v="2"/>
    <x v="2"/>
    <x v="6"/>
    <x v="48"/>
    <x v="135"/>
    <x v="0"/>
    <x v="0"/>
  </r>
  <r>
    <x v="136"/>
    <x v="76"/>
    <x v="1"/>
    <x v="1"/>
    <x v="3"/>
    <x v="15"/>
    <x v="136"/>
    <x v="0"/>
    <x v="0"/>
  </r>
  <r>
    <x v="137"/>
    <x v="77"/>
    <x v="3"/>
    <x v="3"/>
    <x v="11"/>
    <x v="49"/>
    <x v="137"/>
    <x v="0"/>
    <x v="0"/>
  </r>
  <r>
    <x v="138"/>
    <x v="78"/>
    <x v="3"/>
    <x v="6"/>
    <x v="3"/>
    <x v="12"/>
    <x v="138"/>
    <x v="0"/>
    <x v="0"/>
  </r>
  <r>
    <x v="139"/>
    <x v="78"/>
    <x v="2"/>
    <x v="2"/>
    <x v="6"/>
    <x v="50"/>
    <x v="139"/>
    <x v="1"/>
    <x v="0"/>
  </r>
  <r>
    <x v="140"/>
    <x v="79"/>
    <x v="2"/>
    <x v="5"/>
    <x v="5"/>
    <x v="34"/>
    <x v="140"/>
    <x v="0"/>
    <x v="0"/>
  </r>
  <r>
    <x v="141"/>
    <x v="80"/>
    <x v="2"/>
    <x v="2"/>
    <x v="5"/>
    <x v="2"/>
    <x v="141"/>
    <x v="0"/>
    <x v="0"/>
  </r>
  <r>
    <x v="142"/>
    <x v="80"/>
    <x v="2"/>
    <x v="5"/>
    <x v="2"/>
    <x v="36"/>
    <x v="142"/>
    <x v="0"/>
    <x v="0"/>
  </r>
  <r>
    <x v="143"/>
    <x v="81"/>
    <x v="3"/>
    <x v="3"/>
    <x v="3"/>
    <x v="34"/>
    <x v="58"/>
    <x v="0"/>
    <x v="0"/>
  </r>
  <r>
    <x v="144"/>
    <x v="82"/>
    <x v="2"/>
    <x v="7"/>
    <x v="5"/>
    <x v="25"/>
    <x v="143"/>
    <x v="0"/>
    <x v="0"/>
  </r>
  <r>
    <x v="145"/>
    <x v="82"/>
    <x v="4"/>
    <x v="8"/>
    <x v="7"/>
    <x v="51"/>
    <x v="144"/>
    <x v="0"/>
    <x v="0"/>
  </r>
  <r>
    <x v="146"/>
    <x v="83"/>
    <x v="0"/>
    <x v="0"/>
    <x v="10"/>
    <x v="4"/>
    <x v="145"/>
    <x v="0"/>
    <x v="0"/>
  </r>
  <r>
    <x v="147"/>
    <x v="84"/>
    <x v="1"/>
    <x v="9"/>
    <x v="3"/>
    <x v="35"/>
    <x v="146"/>
    <x v="0"/>
    <x v="0"/>
  </r>
  <r>
    <x v="148"/>
    <x v="84"/>
    <x v="2"/>
    <x v="5"/>
    <x v="5"/>
    <x v="6"/>
    <x v="147"/>
    <x v="0"/>
    <x v="0"/>
  </r>
  <r>
    <x v="149"/>
    <x v="84"/>
    <x v="1"/>
    <x v="1"/>
    <x v="3"/>
    <x v="42"/>
    <x v="148"/>
    <x v="1"/>
    <x v="0"/>
  </r>
  <r>
    <x v="150"/>
    <x v="84"/>
    <x v="1"/>
    <x v="9"/>
    <x v="1"/>
    <x v="38"/>
    <x v="149"/>
    <x v="0"/>
    <x v="0"/>
  </r>
  <r>
    <x v="151"/>
    <x v="85"/>
    <x v="4"/>
    <x v="8"/>
    <x v="4"/>
    <x v="36"/>
    <x v="150"/>
    <x v="0"/>
    <x v="0"/>
  </r>
  <r>
    <x v="152"/>
    <x v="86"/>
    <x v="3"/>
    <x v="3"/>
    <x v="3"/>
    <x v="36"/>
    <x v="151"/>
    <x v="1"/>
    <x v="0"/>
  </r>
  <r>
    <x v="153"/>
    <x v="87"/>
    <x v="2"/>
    <x v="7"/>
    <x v="5"/>
    <x v="13"/>
    <x v="152"/>
    <x v="0"/>
    <x v="0"/>
  </r>
  <r>
    <x v="154"/>
    <x v="87"/>
    <x v="3"/>
    <x v="3"/>
    <x v="6"/>
    <x v="4"/>
    <x v="153"/>
    <x v="0"/>
    <x v="0"/>
  </r>
  <r>
    <x v="155"/>
    <x v="88"/>
    <x v="1"/>
    <x v="9"/>
    <x v="3"/>
    <x v="44"/>
    <x v="154"/>
    <x v="0"/>
    <x v="0"/>
  </r>
  <r>
    <x v="156"/>
    <x v="88"/>
    <x v="1"/>
    <x v="9"/>
    <x v="1"/>
    <x v="22"/>
    <x v="155"/>
    <x v="0"/>
    <x v="0"/>
  </r>
  <r>
    <x v="157"/>
    <x v="88"/>
    <x v="2"/>
    <x v="2"/>
    <x v="5"/>
    <x v="45"/>
    <x v="156"/>
    <x v="0"/>
    <x v="0"/>
  </r>
  <r>
    <x v="158"/>
    <x v="89"/>
    <x v="4"/>
    <x v="4"/>
    <x v="9"/>
    <x v="1"/>
    <x v="157"/>
    <x v="0"/>
    <x v="0"/>
  </r>
  <r>
    <x v="159"/>
    <x v="89"/>
    <x v="3"/>
    <x v="3"/>
    <x v="11"/>
    <x v="11"/>
    <x v="158"/>
    <x v="0"/>
    <x v="0"/>
  </r>
  <r>
    <x v="160"/>
    <x v="90"/>
    <x v="2"/>
    <x v="7"/>
    <x v="6"/>
    <x v="11"/>
    <x v="159"/>
    <x v="0"/>
    <x v="0"/>
  </r>
  <r>
    <x v="161"/>
    <x v="90"/>
    <x v="4"/>
    <x v="4"/>
    <x v="7"/>
    <x v="0"/>
    <x v="160"/>
    <x v="0"/>
    <x v="0"/>
  </r>
  <r>
    <x v="162"/>
    <x v="91"/>
    <x v="2"/>
    <x v="5"/>
    <x v="6"/>
    <x v="42"/>
    <x v="161"/>
    <x v="0"/>
    <x v="0"/>
  </r>
  <r>
    <x v="163"/>
    <x v="92"/>
    <x v="3"/>
    <x v="3"/>
    <x v="11"/>
    <x v="49"/>
    <x v="162"/>
    <x v="0"/>
    <x v="0"/>
  </r>
  <r>
    <x v="164"/>
    <x v="93"/>
    <x v="0"/>
    <x v="0"/>
    <x v="0"/>
    <x v="35"/>
    <x v="163"/>
    <x v="0"/>
    <x v="0"/>
  </r>
  <r>
    <x v="165"/>
    <x v="93"/>
    <x v="0"/>
    <x v="10"/>
    <x v="10"/>
    <x v="8"/>
    <x v="164"/>
    <x v="0"/>
    <x v="0"/>
  </r>
  <r>
    <x v="166"/>
    <x v="93"/>
    <x v="1"/>
    <x v="1"/>
    <x v="3"/>
    <x v="8"/>
    <x v="165"/>
    <x v="0"/>
    <x v="0"/>
  </r>
  <r>
    <x v="167"/>
    <x v="94"/>
    <x v="3"/>
    <x v="3"/>
    <x v="11"/>
    <x v="20"/>
    <x v="166"/>
    <x v="0"/>
    <x v="0"/>
  </r>
  <r>
    <x v="168"/>
    <x v="95"/>
    <x v="2"/>
    <x v="7"/>
    <x v="2"/>
    <x v="17"/>
    <x v="167"/>
    <x v="0"/>
    <x v="0"/>
  </r>
  <r>
    <x v="169"/>
    <x v="95"/>
    <x v="3"/>
    <x v="6"/>
    <x v="11"/>
    <x v="15"/>
    <x v="168"/>
    <x v="0"/>
    <x v="0"/>
  </r>
  <r>
    <x v="170"/>
    <x v="95"/>
    <x v="1"/>
    <x v="1"/>
    <x v="8"/>
    <x v="18"/>
    <x v="169"/>
    <x v="0"/>
    <x v="0"/>
  </r>
  <r>
    <x v="171"/>
    <x v="95"/>
    <x v="1"/>
    <x v="1"/>
    <x v="8"/>
    <x v="20"/>
    <x v="170"/>
    <x v="1"/>
    <x v="0"/>
  </r>
  <r>
    <x v="172"/>
    <x v="96"/>
    <x v="3"/>
    <x v="3"/>
    <x v="11"/>
    <x v="18"/>
    <x v="171"/>
    <x v="0"/>
    <x v="0"/>
  </r>
  <r>
    <x v="173"/>
    <x v="97"/>
    <x v="2"/>
    <x v="5"/>
    <x v="5"/>
    <x v="25"/>
    <x v="172"/>
    <x v="0"/>
    <x v="0"/>
  </r>
  <r>
    <x v="174"/>
    <x v="98"/>
    <x v="2"/>
    <x v="7"/>
    <x v="5"/>
    <x v="0"/>
    <x v="173"/>
    <x v="0"/>
    <x v="0"/>
  </r>
  <r>
    <x v="175"/>
    <x v="98"/>
    <x v="0"/>
    <x v="10"/>
    <x v="4"/>
    <x v="14"/>
    <x v="174"/>
    <x v="0"/>
    <x v="0"/>
  </r>
  <r>
    <x v="176"/>
    <x v="98"/>
    <x v="0"/>
    <x v="0"/>
    <x v="0"/>
    <x v="12"/>
    <x v="175"/>
    <x v="0"/>
    <x v="0"/>
  </r>
  <r>
    <x v="177"/>
    <x v="99"/>
    <x v="3"/>
    <x v="3"/>
    <x v="3"/>
    <x v="0"/>
    <x v="176"/>
    <x v="0"/>
    <x v="0"/>
  </r>
  <r>
    <x v="178"/>
    <x v="100"/>
    <x v="0"/>
    <x v="0"/>
    <x v="10"/>
    <x v="52"/>
    <x v="177"/>
    <x v="0"/>
    <x v="0"/>
  </r>
  <r>
    <x v="179"/>
    <x v="100"/>
    <x v="2"/>
    <x v="5"/>
    <x v="2"/>
    <x v="8"/>
    <x v="178"/>
    <x v="0"/>
    <x v="0"/>
  </r>
  <r>
    <x v="180"/>
    <x v="101"/>
    <x v="0"/>
    <x v="10"/>
    <x v="4"/>
    <x v="53"/>
    <x v="179"/>
    <x v="0"/>
    <x v="0"/>
  </r>
  <r>
    <x v="181"/>
    <x v="102"/>
    <x v="2"/>
    <x v="5"/>
    <x v="5"/>
    <x v="24"/>
    <x v="180"/>
    <x v="0"/>
    <x v="0"/>
  </r>
  <r>
    <x v="182"/>
    <x v="103"/>
    <x v="1"/>
    <x v="9"/>
    <x v="8"/>
    <x v="5"/>
    <x v="181"/>
    <x v="0"/>
    <x v="0"/>
  </r>
  <r>
    <x v="183"/>
    <x v="104"/>
    <x v="3"/>
    <x v="6"/>
    <x v="6"/>
    <x v="20"/>
    <x v="182"/>
    <x v="0"/>
    <x v="0"/>
  </r>
  <r>
    <x v="184"/>
    <x v="104"/>
    <x v="1"/>
    <x v="9"/>
    <x v="1"/>
    <x v="22"/>
    <x v="183"/>
    <x v="0"/>
    <x v="0"/>
  </r>
  <r>
    <x v="185"/>
    <x v="105"/>
    <x v="1"/>
    <x v="1"/>
    <x v="3"/>
    <x v="8"/>
    <x v="184"/>
    <x v="0"/>
    <x v="0"/>
  </r>
  <r>
    <x v="186"/>
    <x v="106"/>
    <x v="2"/>
    <x v="2"/>
    <x v="2"/>
    <x v="14"/>
    <x v="185"/>
    <x v="0"/>
    <x v="0"/>
  </r>
  <r>
    <x v="187"/>
    <x v="107"/>
    <x v="3"/>
    <x v="3"/>
    <x v="6"/>
    <x v="5"/>
    <x v="186"/>
    <x v="0"/>
    <x v="0"/>
  </r>
  <r>
    <x v="188"/>
    <x v="108"/>
    <x v="2"/>
    <x v="5"/>
    <x v="6"/>
    <x v="14"/>
    <x v="187"/>
    <x v="0"/>
    <x v="0"/>
  </r>
  <r>
    <x v="189"/>
    <x v="108"/>
    <x v="4"/>
    <x v="8"/>
    <x v="7"/>
    <x v="46"/>
    <x v="188"/>
    <x v="0"/>
    <x v="0"/>
  </r>
  <r>
    <x v="190"/>
    <x v="109"/>
    <x v="0"/>
    <x v="0"/>
    <x v="10"/>
    <x v="39"/>
    <x v="189"/>
    <x v="0"/>
    <x v="0"/>
  </r>
  <r>
    <x v="191"/>
    <x v="110"/>
    <x v="1"/>
    <x v="9"/>
    <x v="8"/>
    <x v="44"/>
    <x v="190"/>
    <x v="0"/>
    <x v="0"/>
  </r>
  <r>
    <x v="192"/>
    <x v="111"/>
    <x v="3"/>
    <x v="6"/>
    <x v="3"/>
    <x v="5"/>
    <x v="191"/>
    <x v="0"/>
    <x v="0"/>
  </r>
  <r>
    <x v="193"/>
    <x v="111"/>
    <x v="1"/>
    <x v="1"/>
    <x v="3"/>
    <x v="14"/>
    <x v="192"/>
    <x v="1"/>
    <x v="0"/>
  </r>
  <r>
    <x v="194"/>
    <x v="111"/>
    <x v="3"/>
    <x v="3"/>
    <x v="6"/>
    <x v="17"/>
    <x v="193"/>
    <x v="0"/>
    <x v="0"/>
  </r>
  <r>
    <x v="195"/>
    <x v="111"/>
    <x v="4"/>
    <x v="8"/>
    <x v="4"/>
    <x v="54"/>
    <x v="194"/>
    <x v="0"/>
    <x v="0"/>
  </r>
  <r>
    <x v="196"/>
    <x v="112"/>
    <x v="4"/>
    <x v="8"/>
    <x v="4"/>
    <x v="29"/>
    <x v="195"/>
    <x v="0"/>
    <x v="0"/>
  </r>
  <r>
    <x v="197"/>
    <x v="113"/>
    <x v="3"/>
    <x v="6"/>
    <x v="11"/>
    <x v="20"/>
    <x v="196"/>
    <x v="0"/>
    <x v="0"/>
  </r>
  <r>
    <x v="198"/>
    <x v="113"/>
    <x v="2"/>
    <x v="7"/>
    <x v="6"/>
    <x v="23"/>
    <x v="197"/>
    <x v="0"/>
    <x v="0"/>
  </r>
  <r>
    <x v="199"/>
    <x v="114"/>
    <x v="1"/>
    <x v="9"/>
    <x v="8"/>
    <x v="4"/>
    <x v="198"/>
    <x v="0"/>
    <x v="0"/>
  </r>
  <r>
    <x v="200"/>
    <x v="115"/>
    <x v="2"/>
    <x v="5"/>
    <x v="5"/>
    <x v="42"/>
    <x v="199"/>
    <x v="0"/>
    <x v="0"/>
  </r>
  <r>
    <x v="201"/>
    <x v="115"/>
    <x v="2"/>
    <x v="5"/>
    <x v="5"/>
    <x v="13"/>
    <x v="200"/>
    <x v="0"/>
    <x v="0"/>
  </r>
  <r>
    <x v="202"/>
    <x v="116"/>
    <x v="4"/>
    <x v="4"/>
    <x v="4"/>
    <x v="55"/>
    <x v="201"/>
    <x v="1"/>
    <x v="0"/>
  </r>
  <r>
    <x v="203"/>
    <x v="117"/>
    <x v="4"/>
    <x v="8"/>
    <x v="9"/>
    <x v="43"/>
    <x v="202"/>
    <x v="0"/>
    <x v="0"/>
  </r>
  <r>
    <x v="204"/>
    <x v="117"/>
    <x v="2"/>
    <x v="7"/>
    <x v="5"/>
    <x v="56"/>
    <x v="203"/>
    <x v="0"/>
    <x v="0"/>
  </r>
  <r>
    <x v="205"/>
    <x v="117"/>
    <x v="4"/>
    <x v="4"/>
    <x v="7"/>
    <x v="51"/>
    <x v="204"/>
    <x v="0"/>
    <x v="0"/>
  </r>
  <r>
    <x v="206"/>
    <x v="118"/>
    <x v="3"/>
    <x v="3"/>
    <x v="6"/>
    <x v="11"/>
    <x v="205"/>
    <x v="0"/>
    <x v="0"/>
  </r>
  <r>
    <x v="207"/>
    <x v="118"/>
    <x v="2"/>
    <x v="2"/>
    <x v="6"/>
    <x v="3"/>
    <x v="206"/>
    <x v="0"/>
    <x v="0"/>
  </r>
  <r>
    <x v="208"/>
    <x v="118"/>
    <x v="3"/>
    <x v="3"/>
    <x v="6"/>
    <x v="11"/>
    <x v="207"/>
    <x v="0"/>
    <x v="0"/>
  </r>
  <r>
    <x v="209"/>
    <x v="118"/>
    <x v="1"/>
    <x v="1"/>
    <x v="3"/>
    <x v="15"/>
    <x v="208"/>
    <x v="0"/>
    <x v="0"/>
  </r>
  <r>
    <x v="210"/>
    <x v="118"/>
    <x v="3"/>
    <x v="3"/>
    <x v="11"/>
    <x v="51"/>
    <x v="209"/>
    <x v="1"/>
    <x v="0"/>
  </r>
  <r>
    <x v="211"/>
    <x v="119"/>
    <x v="0"/>
    <x v="10"/>
    <x v="4"/>
    <x v="6"/>
    <x v="210"/>
    <x v="0"/>
    <x v="0"/>
  </r>
  <r>
    <x v="212"/>
    <x v="119"/>
    <x v="2"/>
    <x v="2"/>
    <x v="6"/>
    <x v="14"/>
    <x v="211"/>
    <x v="0"/>
    <x v="0"/>
  </r>
  <r>
    <x v="213"/>
    <x v="119"/>
    <x v="3"/>
    <x v="6"/>
    <x v="11"/>
    <x v="49"/>
    <x v="212"/>
    <x v="0"/>
    <x v="0"/>
  </r>
  <r>
    <x v="214"/>
    <x v="119"/>
    <x v="1"/>
    <x v="9"/>
    <x v="8"/>
    <x v="8"/>
    <x v="213"/>
    <x v="0"/>
    <x v="0"/>
  </r>
  <r>
    <x v="215"/>
    <x v="120"/>
    <x v="2"/>
    <x v="7"/>
    <x v="6"/>
    <x v="53"/>
    <x v="214"/>
    <x v="0"/>
    <x v="0"/>
  </r>
  <r>
    <x v="216"/>
    <x v="121"/>
    <x v="2"/>
    <x v="2"/>
    <x v="5"/>
    <x v="20"/>
    <x v="215"/>
    <x v="0"/>
    <x v="0"/>
  </r>
  <r>
    <x v="217"/>
    <x v="122"/>
    <x v="1"/>
    <x v="1"/>
    <x v="3"/>
    <x v="5"/>
    <x v="216"/>
    <x v="0"/>
    <x v="0"/>
  </r>
  <r>
    <x v="218"/>
    <x v="122"/>
    <x v="1"/>
    <x v="9"/>
    <x v="1"/>
    <x v="25"/>
    <x v="217"/>
    <x v="1"/>
    <x v="0"/>
  </r>
  <r>
    <x v="219"/>
    <x v="123"/>
    <x v="1"/>
    <x v="9"/>
    <x v="1"/>
    <x v="22"/>
    <x v="218"/>
    <x v="0"/>
    <x v="0"/>
  </r>
  <r>
    <x v="220"/>
    <x v="123"/>
    <x v="0"/>
    <x v="10"/>
    <x v="10"/>
    <x v="11"/>
    <x v="219"/>
    <x v="0"/>
    <x v="0"/>
  </r>
  <r>
    <x v="221"/>
    <x v="123"/>
    <x v="4"/>
    <x v="8"/>
    <x v="9"/>
    <x v="49"/>
    <x v="220"/>
    <x v="0"/>
    <x v="0"/>
  </r>
  <r>
    <x v="222"/>
    <x v="124"/>
    <x v="0"/>
    <x v="0"/>
    <x v="0"/>
    <x v="14"/>
    <x v="221"/>
    <x v="0"/>
    <x v="0"/>
  </r>
  <r>
    <x v="223"/>
    <x v="125"/>
    <x v="3"/>
    <x v="3"/>
    <x v="11"/>
    <x v="6"/>
    <x v="222"/>
    <x v="0"/>
    <x v="0"/>
  </r>
  <r>
    <x v="224"/>
    <x v="126"/>
    <x v="0"/>
    <x v="0"/>
    <x v="10"/>
    <x v="44"/>
    <x v="223"/>
    <x v="0"/>
    <x v="0"/>
  </r>
  <r>
    <x v="225"/>
    <x v="126"/>
    <x v="4"/>
    <x v="8"/>
    <x v="7"/>
    <x v="57"/>
    <x v="224"/>
    <x v="0"/>
    <x v="0"/>
  </r>
  <r>
    <x v="226"/>
    <x v="126"/>
    <x v="0"/>
    <x v="0"/>
    <x v="10"/>
    <x v="27"/>
    <x v="225"/>
    <x v="1"/>
    <x v="0"/>
  </r>
  <r>
    <x v="227"/>
    <x v="127"/>
    <x v="2"/>
    <x v="2"/>
    <x v="2"/>
    <x v="56"/>
    <x v="226"/>
    <x v="0"/>
    <x v="0"/>
  </r>
  <r>
    <x v="228"/>
    <x v="128"/>
    <x v="3"/>
    <x v="3"/>
    <x v="6"/>
    <x v="15"/>
    <x v="227"/>
    <x v="0"/>
    <x v="0"/>
  </r>
  <r>
    <x v="229"/>
    <x v="129"/>
    <x v="4"/>
    <x v="4"/>
    <x v="9"/>
    <x v="21"/>
    <x v="228"/>
    <x v="0"/>
    <x v="0"/>
  </r>
  <r>
    <x v="230"/>
    <x v="130"/>
    <x v="3"/>
    <x v="3"/>
    <x v="6"/>
    <x v="5"/>
    <x v="229"/>
    <x v="0"/>
    <x v="0"/>
  </r>
  <r>
    <x v="231"/>
    <x v="131"/>
    <x v="1"/>
    <x v="9"/>
    <x v="8"/>
    <x v="32"/>
    <x v="230"/>
    <x v="1"/>
    <x v="0"/>
  </r>
  <r>
    <x v="232"/>
    <x v="132"/>
    <x v="1"/>
    <x v="1"/>
    <x v="1"/>
    <x v="34"/>
    <x v="231"/>
    <x v="0"/>
    <x v="0"/>
  </r>
  <r>
    <x v="233"/>
    <x v="133"/>
    <x v="3"/>
    <x v="3"/>
    <x v="11"/>
    <x v="34"/>
    <x v="232"/>
    <x v="0"/>
    <x v="0"/>
  </r>
  <r>
    <x v="234"/>
    <x v="134"/>
    <x v="0"/>
    <x v="0"/>
    <x v="10"/>
    <x v="6"/>
    <x v="233"/>
    <x v="0"/>
    <x v="0"/>
  </r>
  <r>
    <x v="235"/>
    <x v="134"/>
    <x v="1"/>
    <x v="1"/>
    <x v="8"/>
    <x v="45"/>
    <x v="234"/>
    <x v="0"/>
    <x v="0"/>
  </r>
  <r>
    <x v="236"/>
    <x v="134"/>
    <x v="0"/>
    <x v="10"/>
    <x v="4"/>
    <x v="13"/>
    <x v="235"/>
    <x v="0"/>
    <x v="0"/>
  </r>
  <r>
    <x v="237"/>
    <x v="135"/>
    <x v="3"/>
    <x v="6"/>
    <x v="11"/>
    <x v="39"/>
    <x v="236"/>
    <x v="0"/>
    <x v="0"/>
  </r>
  <r>
    <x v="238"/>
    <x v="136"/>
    <x v="1"/>
    <x v="1"/>
    <x v="3"/>
    <x v="38"/>
    <x v="237"/>
    <x v="0"/>
    <x v="0"/>
  </r>
  <r>
    <x v="239"/>
    <x v="136"/>
    <x v="2"/>
    <x v="5"/>
    <x v="6"/>
    <x v="52"/>
    <x v="238"/>
    <x v="0"/>
    <x v="0"/>
  </r>
  <r>
    <x v="240"/>
    <x v="137"/>
    <x v="3"/>
    <x v="6"/>
    <x v="11"/>
    <x v="42"/>
    <x v="239"/>
    <x v="0"/>
    <x v="0"/>
  </r>
  <r>
    <x v="241"/>
    <x v="137"/>
    <x v="0"/>
    <x v="0"/>
    <x v="4"/>
    <x v="58"/>
    <x v="240"/>
    <x v="1"/>
    <x v="0"/>
  </r>
  <r>
    <x v="242"/>
    <x v="137"/>
    <x v="2"/>
    <x v="5"/>
    <x v="5"/>
    <x v="14"/>
    <x v="241"/>
    <x v="0"/>
    <x v="0"/>
  </r>
  <r>
    <x v="243"/>
    <x v="138"/>
    <x v="0"/>
    <x v="10"/>
    <x v="10"/>
    <x v="35"/>
    <x v="32"/>
    <x v="0"/>
    <x v="0"/>
  </r>
  <r>
    <x v="244"/>
    <x v="139"/>
    <x v="2"/>
    <x v="5"/>
    <x v="5"/>
    <x v="32"/>
    <x v="242"/>
    <x v="0"/>
    <x v="0"/>
  </r>
  <r>
    <x v="245"/>
    <x v="140"/>
    <x v="4"/>
    <x v="8"/>
    <x v="9"/>
    <x v="22"/>
    <x v="243"/>
    <x v="0"/>
    <x v="0"/>
  </r>
  <r>
    <x v="246"/>
    <x v="141"/>
    <x v="3"/>
    <x v="6"/>
    <x v="11"/>
    <x v="5"/>
    <x v="244"/>
    <x v="0"/>
    <x v="0"/>
  </r>
  <r>
    <x v="247"/>
    <x v="142"/>
    <x v="3"/>
    <x v="6"/>
    <x v="3"/>
    <x v="17"/>
    <x v="245"/>
    <x v="0"/>
    <x v="0"/>
  </r>
  <r>
    <x v="248"/>
    <x v="143"/>
    <x v="3"/>
    <x v="6"/>
    <x v="3"/>
    <x v="16"/>
    <x v="246"/>
    <x v="0"/>
    <x v="0"/>
  </r>
  <r>
    <x v="249"/>
    <x v="143"/>
    <x v="3"/>
    <x v="3"/>
    <x v="6"/>
    <x v="4"/>
    <x v="247"/>
    <x v="0"/>
    <x v="0"/>
  </r>
  <r>
    <x v="250"/>
    <x v="144"/>
    <x v="1"/>
    <x v="1"/>
    <x v="8"/>
    <x v="12"/>
    <x v="248"/>
    <x v="0"/>
    <x v="0"/>
  </r>
  <r>
    <x v="251"/>
    <x v="145"/>
    <x v="1"/>
    <x v="9"/>
    <x v="1"/>
    <x v="1"/>
    <x v="249"/>
    <x v="1"/>
    <x v="0"/>
  </r>
  <r>
    <x v="252"/>
    <x v="146"/>
    <x v="2"/>
    <x v="5"/>
    <x v="2"/>
    <x v="52"/>
    <x v="250"/>
    <x v="0"/>
    <x v="0"/>
  </r>
  <r>
    <x v="253"/>
    <x v="147"/>
    <x v="1"/>
    <x v="9"/>
    <x v="8"/>
    <x v="15"/>
    <x v="251"/>
    <x v="0"/>
    <x v="0"/>
  </r>
  <r>
    <x v="254"/>
    <x v="147"/>
    <x v="3"/>
    <x v="3"/>
    <x v="3"/>
    <x v="0"/>
    <x v="252"/>
    <x v="0"/>
    <x v="0"/>
  </r>
  <r>
    <x v="255"/>
    <x v="148"/>
    <x v="1"/>
    <x v="1"/>
    <x v="1"/>
    <x v="35"/>
    <x v="253"/>
    <x v="0"/>
    <x v="0"/>
  </r>
  <r>
    <x v="256"/>
    <x v="149"/>
    <x v="1"/>
    <x v="9"/>
    <x v="8"/>
    <x v="6"/>
    <x v="254"/>
    <x v="0"/>
    <x v="0"/>
  </r>
  <r>
    <x v="257"/>
    <x v="149"/>
    <x v="3"/>
    <x v="3"/>
    <x v="11"/>
    <x v="33"/>
    <x v="255"/>
    <x v="0"/>
    <x v="0"/>
  </r>
  <r>
    <x v="258"/>
    <x v="150"/>
    <x v="0"/>
    <x v="0"/>
    <x v="10"/>
    <x v="17"/>
    <x v="256"/>
    <x v="0"/>
    <x v="0"/>
  </r>
  <r>
    <x v="259"/>
    <x v="151"/>
    <x v="3"/>
    <x v="6"/>
    <x v="11"/>
    <x v="6"/>
    <x v="257"/>
    <x v="0"/>
    <x v="0"/>
  </r>
  <r>
    <x v="260"/>
    <x v="152"/>
    <x v="0"/>
    <x v="10"/>
    <x v="10"/>
    <x v="34"/>
    <x v="258"/>
    <x v="0"/>
    <x v="0"/>
  </r>
  <r>
    <x v="261"/>
    <x v="153"/>
    <x v="2"/>
    <x v="7"/>
    <x v="2"/>
    <x v="36"/>
    <x v="259"/>
    <x v="0"/>
    <x v="0"/>
  </r>
  <r>
    <x v="262"/>
    <x v="153"/>
    <x v="2"/>
    <x v="5"/>
    <x v="5"/>
    <x v="6"/>
    <x v="260"/>
    <x v="0"/>
    <x v="0"/>
  </r>
  <r>
    <x v="263"/>
    <x v="153"/>
    <x v="2"/>
    <x v="2"/>
    <x v="5"/>
    <x v="49"/>
    <x v="261"/>
    <x v="0"/>
    <x v="0"/>
  </r>
  <r>
    <x v="264"/>
    <x v="153"/>
    <x v="4"/>
    <x v="8"/>
    <x v="9"/>
    <x v="50"/>
    <x v="262"/>
    <x v="0"/>
    <x v="0"/>
  </r>
  <r>
    <x v="265"/>
    <x v="154"/>
    <x v="2"/>
    <x v="7"/>
    <x v="5"/>
    <x v="25"/>
    <x v="263"/>
    <x v="0"/>
    <x v="0"/>
  </r>
  <r>
    <x v="266"/>
    <x v="155"/>
    <x v="2"/>
    <x v="2"/>
    <x v="5"/>
    <x v="49"/>
    <x v="264"/>
    <x v="0"/>
    <x v="0"/>
  </r>
  <r>
    <x v="267"/>
    <x v="155"/>
    <x v="3"/>
    <x v="3"/>
    <x v="11"/>
    <x v="26"/>
    <x v="265"/>
    <x v="1"/>
    <x v="0"/>
  </r>
  <r>
    <x v="268"/>
    <x v="156"/>
    <x v="2"/>
    <x v="7"/>
    <x v="6"/>
    <x v="20"/>
    <x v="266"/>
    <x v="0"/>
    <x v="0"/>
  </r>
  <r>
    <x v="269"/>
    <x v="157"/>
    <x v="3"/>
    <x v="6"/>
    <x v="11"/>
    <x v="19"/>
    <x v="267"/>
    <x v="0"/>
    <x v="0"/>
  </r>
  <r>
    <x v="270"/>
    <x v="158"/>
    <x v="2"/>
    <x v="7"/>
    <x v="2"/>
    <x v="11"/>
    <x v="268"/>
    <x v="0"/>
    <x v="0"/>
  </r>
  <r>
    <x v="271"/>
    <x v="159"/>
    <x v="1"/>
    <x v="9"/>
    <x v="8"/>
    <x v="33"/>
    <x v="269"/>
    <x v="0"/>
    <x v="0"/>
  </r>
  <r>
    <x v="272"/>
    <x v="160"/>
    <x v="1"/>
    <x v="1"/>
    <x v="1"/>
    <x v="34"/>
    <x v="270"/>
    <x v="0"/>
    <x v="0"/>
  </r>
  <r>
    <x v="273"/>
    <x v="160"/>
    <x v="2"/>
    <x v="2"/>
    <x v="2"/>
    <x v="13"/>
    <x v="271"/>
    <x v="0"/>
    <x v="0"/>
  </r>
  <r>
    <x v="274"/>
    <x v="160"/>
    <x v="2"/>
    <x v="2"/>
    <x v="6"/>
    <x v="20"/>
    <x v="272"/>
    <x v="0"/>
    <x v="0"/>
  </r>
  <r>
    <x v="275"/>
    <x v="160"/>
    <x v="2"/>
    <x v="7"/>
    <x v="5"/>
    <x v="27"/>
    <x v="273"/>
    <x v="0"/>
    <x v="0"/>
  </r>
  <r>
    <x v="276"/>
    <x v="161"/>
    <x v="2"/>
    <x v="7"/>
    <x v="6"/>
    <x v="45"/>
    <x v="274"/>
    <x v="0"/>
    <x v="0"/>
  </r>
  <r>
    <x v="277"/>
    <x v="162"/>
    <x v="2"/>
    <x v="5"/>
    <x v="2"/>
    <x v="56"/>
    <x v="275"/>
    <x v="0"/>
    <x v="0"/>
  </r>
  <r>
    <x v="278"/>
    <x v="163"/>
    <x v="0"/>
    <x v="10"/>
    <x v="0"/>
    <x v="11"/>
    <x v="276"/>
    <x v="0"/>
    <x v="0"/>
  </r>
  <r>
    <x v="279"/>
    <x v="163"/>
    <x v="2"/>
    <x v="5"/>
    <x v="6"/>
    <x v="59"/>
    <x v="277"/>
    <x v="1"/>
    <x v="0"/>
  </r>
  <r>
    <x v="280"/>
    <x v="164"/>
    <x v="0"/>
    <x v="10"/>
    <x v="10"/>
    <x v="6"/>
    <x v="278"/>
    <x v="0"/>
    <x v="0"/>
  </r>
  <r>
    <x v="281"/>
    <x v="164"/>
    <x v="1"/>
    <x v="1"/>
    <x v="8"/>
    <x v="35"/>
    <x v="279"/>
    <x v="0"/>
    <x v="0"/>
  </r>
  <r>
    <x v="282"/>
    <x v="164"/>
    <x v="2"/>
    <x v="5"/>
    <x v="2"/>
    <x v="34"/>
    <x v="280"/>
    <x v="0"/>
    <x v="0"/>
  </r>
  <r>
    <x v="283"/>
    <x v="165"/>
    <x v="4"/>
    <x v="8"/>
    <x v="7"/>
    <x v="60"/>
    <x v="281"/>
    <x v="0"/>
    <x v="0"/>
  </r>
  <r>
    <x v="284"/>
    <x v="166"/>
    <x v="0"/>
    <x v="10"/>
    <x v="10"/>
    <x v="4"/>
    <x v="282"/>
    <x v="0"/>
    <x v="0"/>
  </r>
  <r>
    <x v="285"/>
    <x v="166"/>
    <x v="2"/>
    <x v="7"/>
    <x v="2"/>
    <x v="40"/>
    <x v="283"/>
    <x v="0"/>
    <x v="0"/>
  </r>
  <r>
    <x v="286"/>
    <x v="166"/>
    <x v="3"/>
    <x v="6"/>
    <x v="6"/>
    <x v="19"/>
    <x v="284"/>
    <x v="0"/>
    <x v="0"/>
  </r>
  <r>
    <x v="287"/>
    <x v="167"/>
    <x v="4"/>
    <x v="8"/>
    <x v="7"/>
    <x v="61"/>
    <x v="285"/>
    <x v="1"/>
    <x v="0"/>
  </r>
  <r>
    <x v="288"/>
    <x v="167"/>
    <x v="0"/>
    <x v="10"/>
    <x v="0"/>
    <x v="33"/>
    <x v="286"/>
    <x v="0"/>
    <x v="0"/>
  </r>
  <r>
    <x v="289"/>
    <x v="167"/>
    <x v="2"/>
    <x v="2"/>
    <x v="2"/>
    <x v="36"/>
    <x v="287"/>
    <x v="0"/>
    <x v="0"/>
  </r>
  <r>
    <x v="290"/>
    <x v="168"/>
    <x v="2"/>
    <x v="2"/>
    <x v="6"/>
    <x v="19"/>
    <x v="288"/>
    <x v="0"/>
    <x v="0"/>
  </r>
  <r>
    <x v="291"/>
    <x v="168"/>
    <x v="1"/>
    <x v="9"/>
    <x v="1"/>
    <x v="0"/>
    <x v="289"/>
    <x v="0"/>
    <x v="0"/>
  </r>
  <r>
    <x v="292"/>
    <x v="169"/>
    <x v="3"/>
    <x v="6"/>
    <x v="3"/>
    <x v="38"/>
    <x v="290"/>
    <x v="0"/>
    <x v="0"/>
  </r>
  <r>
    <x v="293"/>
    <x v="170"/>
    <x v="4"/>
    <x v="8"/>
    <x v="4"/>
    <x v="62"/>
    <x v="291"/>
    <x v="1"/>
    <x v="0"/>
  </r>
  <r>
    <x v="294"/>
    <x v="171"/>
    <x v="3"/>
    <x v="3"/>
    <x v="6"/>
    <x v="38"/>
    <x v="292"/>
    <x v="0"/>
    <x v="0"/>
  </r>
  <r>
    <x v="295"/>
    <x v="172"/>
    <x v="1"/>
    <x v="9"/>
    <x v="8"/>
    <x v="5"/>
    <x v="293"/>
    <x v="0"/>
    <x v="0"/>
  </r>
  <r>
    <x v="296"/>
    <x v="173"/>
    <x v="2"/>
    <x v="2"/>
    <x v="2"/>
    <x v="34"/>
    <x v="294"/>
    <x v="0"/>
    <x v="0"/>
  </r>
  <r>
    <x v="297"/>
    <x v="173"/>
    <x v="2"/>
    <x v="5"/>
    <x v="5"/>
    <x v="4"/>
    <x v="295"/>
    <x v="0"/>
    <x v="0"/>
  </r>
  <r>
    <x v="298"/>
    <x v="174"/>
    <x v="2"/>
    <x v="2"/>
    <x v="2"/>
    <x v="11"/>
    <x v="296"/>
    <x v="0"/>
    <x v="0"/>
  </r>
  <r>
    <x v="299"/>
    <x v="174"/>
    <x v="3"/>
    <x v="3"/>
    <x v="6"/>
    <x v="18"/>
    <x v="297"/>
    <x v="0"/>
    <x v="0"/>
  </r>
  <r>
    <x v="300"/>
    <x v="174"/>
    <x v="1"/>
    <x v="9"/>
    <x v="8"/>
    <x v="12"/>
    <x v="134"/>
    <x v="0"/>
    <x v="0"/>
  </r>
  <r>
    <x v="301"/>
    <x v="175"/>
    <x v="1"/>
    <x v="1"/>
    <x v="3"/>
    <x v="4"/>
    <x v="298"/>
    <x v="0"/>
    <x v="0"/>
  </r>
  <r>
    <x v="302"/>
    <x v="176"/>
    <x v="2"/>
    <x v="2"/>
    <x v="2"/>
    <x v="10"/>
    <x v="299"/>
    <x v="0"/>
    <x v="0"/>
  </r>
  <r>
    <x v="303"/>
    <x v="176"/>
    <x v="3"/>
    <x v="3"/>
    <x v="11"/>
    <x v="49"/>
    <x v="300"/>
    <x v="0"/>
    <x v="0"/>
  </r>
  <r>
    <x v="304"/>
    <x v="177"/>
    <x v="2"/>
    <x v="2"/>
    <x v="2"/>
    <x v="53"/>
    <x v="301"/>
    <x v="0"/>
    <x v="0"/>
  </r>
  <r>
    <x v="305"/>
    <x v="178"/>
    <x v="2"/>
    <x v="7"/>
    <x v="5"/>
    <x v="34"/>
    <x v="302"/>
    <x v="0"/>
    <x v="0"/>
  </r>
  <r>
    <x v="306"/>
    <x v="178"/>
    <x v="2"/>
    <x v="2"/>
    <x v="2"/>
    <x v="15"/>
    <x v="303"/>
    <x v="0"/>
    <x v="0"/>
  </r>
  <r>
    <x v="307"/>
    <x v="178"/>
    <x v="3"/>
    <x v="6"/>
    <x v="11"/>
    <x v="15"/>
    <x v="304"/>
    <x v="0"/>
    <x v="0"/>
  </r>
  <r>
    <x v="308"/>
    <x v="179"/>
    <x v="3"/>
    <x v="6"/>
    <x v="6"/>
    <x v="17"/>
    <x v="305"/>
    <x v="0"/>
    <x v="0"/>
  </r>
  <r>
    <x v="309"/>
    <x v="179"/>
    <x v="2"/>
    <x v="2"/>
    <x v="6"/>
    <x v="14"/>
    <x v="306"/>
    <x v="0"/>
    <x v="0"/>
  </r>
  <r>
    <x v="310"/>
    <x v="180"/>
    <x v="4"/>
    <x v="4"/>
    <x v="9"/>
    <x v="8"/>
    <x v="307"/>
    <x v="0"/>
    <x v="0"/>
  </r>
  <r>
    <x v="311"/>
    <x v="180"/>
    <x v="0"/>
    <x v="10"/>
    <x v="4"/>
    <x v="10"/>
    <x v="308"/>
    <x v="0"/>
    <x v="0"/>
  </r>
  <r>
    <x v="312"/>
    <x v="181"/>
    <x v="3"/>
    <x v="6"/>
    <x v="6"/>
    <x v="45"/>
    <x v="309"/>
    <x v="0"/>
    <x v="0"/>
  </r>
  <r>
    <x v="313"/>
    <x v="181"/>
    <x v="0"/>
    <x v="0"/>
    <x v="4"/>
    <x v="42"/>
    <x v="310"/>
    <x v="0"/>
    <x v="0"/>
  </r>
  <r>
    <x v="314"/>
    <x v="182"/>
    <x v="1"/>
    <x v="9"/>
    <x v="8"/>
    <x v="0"/>
    <x v="311"/>
    <x v="0"/>
    <x v="0"/>
  </r>
  <r>
    <x v="315"/>
    <x v="182"/>
    <x v="3"/>
    <x v="3"/>
    <x v="3"/>
    <x v="10"/>
    <x v="312"/>
    <x v="0"/>
    <x v="0"/>
  </r>
  <r>
    <x v="316"/>
    <x v="183"/>
    <x v="3"/>
    <x v="3"/>
    <x v="3"/>
    <x v="35"/>
    <x v="313"/>
    <x v="0"/>
    <x v="0"/>
  </r>
  <r>
    <x v="317"/>
    <x v="184"/>
    <x v="2"/>
    <x v="5"/>
    <x v="2"/>
    <x v="6"/>
    <x v="314"/>
    <x v="0"/>
    <x v="0"/>
  </r>
  <r>
    <x v="318"/>
    <x v="184"/>
    <x v="1"/>
    <x v="1"/>
    <x v="3"/>
    <x v="34"/>
    <x v="315"/>
    <x v="0"/>
    <x v="0"/>
  </r>
  <r>
    <x v="319"/>
    <x v="184"/>
    <x v="1"/>
    <x v="1"/>
    <x v="8"/>
    <x v="16"/>
    <x v="316"/>
    <x v="0"/>
    <x v="0"/>
  </r>
  <r>
    <x v="320"/>
    <x v="185"/>
    <x v="2"/>
    <x v="5"/>
    <x v="2"/>
    <x v="1"/>
    <x v="317"/>
    <x v="0"/>
    <x v="0"/>
  </r>
  <r>
    <x v="321"/>
    <x v="186"/>
    <x v="4"/>
    <x v="4"/>
    <x v="9"/>
    <x v="26"/>
    <x v="318"/>
    <x v="0"/>
    <x v="0"/>
  </r>
  <r>
    <x v="322"/>
    <x v="187"/>
    <x v="4"/>
    <x v="4"/>
    <x v="9"/>
    <x v="63"/>
    <x v="319"/>
    <x v="1"/>
    <x v="0"/>
  </r>
  <r>
    <x v="323"/>
    <x v="188"/>
    <x v="1"/>
    <x v="9"/>
    <x v="1"/>
    <x v="28"/>
    <x v="320"/>
    <x v="0"/>
    <x v="0"/>
  </r>
  <r>
    <x v="324"/>
    <x v="189"/>
    <x v="3"/>
    <x v="6"/>
    <x v="3"/>
    <x v="18"/>
    <x v="321"/>
    <x v="0"/>
    <x v="0"/>
  </r>
  <r>
    <x v="325"/>
    <x v="189"/>
    <x v="4"/>
    <x v="8"/>
    <x v="7"/>
    <x v="11"/>
    <x v="322"/>
    <x v="0"/>
    <x v="0"/>
  </r>
  <r>
    <x v="326"/>
    <x v="189"/>
    <x v="2"/>
    <x v="2"/>
    <x v="2"/>
    <x v="56"/>
    <x v="323"/>
    <x v="0"/>
    <x v="0"/>
  </r>
  <r>
    <x v="327"/>
    <x v="190"/>
    <x v="0"/>
    <x v="0"/>
    <x v="4"/>
    <x v="22"/>
    <x v="324"/>
    <x v="0"/>
    <x v="0"/>
  </r>
  <r>
    <x v="328"/>
    <x v="190"/>
    <x v="2"/>
    <x v="2"/>
    <x v="6"/>
    <x v="43"/>
    <x v="325"/>
    <x v="1"/>
    <x v="0"/>
  </r>
  <r>
    <x v="329"/>
    <x v="191"/>
    <x v="2"/>
    <x v="2"/>
    <x v="5"/>
    <x v="57"/>
    <x v="326"/>
    <x v="1"/>
    <x v="0"/>
  </r>
  <r>
    <x v="330"/>
    <x v="192"/>
    <x v="2"/>
    <x v="7"/>
    <x v="2"/>
    <x v="53"/>
    <x v="327"/>
    <x v="0"/>
    <x v="0"/>
  </r>
  <r>
    <x v="331"/>
    <x v="193"/>
    <x v="2"/>
    <x v="5"/>
    <x v="5"/>
    <x v="37"/>
    <x v="328"/>
    <x v="1"/>
    <x v="0"/>
  </r>
  <r>
    <x v="332"/>
    <x v="194"/>
    <x v="3"/>
    <x v="3"/>
    <x v="6"/>
    <x v="4"/>
    <x v="329"/>
    <x v="0"/>
    <x v="0"/>
  </r>
  <r>
    <x v="333"/>
    <x v="194"/>
    <x v="0"/>
    <x v="0"/>
    <x v="10"/>
    <x v="18"/>
    <x v="330"/>
    <x v="0"/>
    <x v="0"/>
  </r>
  <r>
    <x v="334"/>
    <x v="195"/>
    <x v="2"/>
    <x v="2"/>
    <x v="5"/>
    <x v="32"/>
    <x v="331"/>
    <x v="0"/>
    <x v="0"/>
  </r>
  <r>
    <x v="335"/>
    <x v="195"/>
    <x v="4"/>
    <x v="4"/>
    <x v="9"/>
    <x v="0"/>
    <x v="332"/>
    <x v="0"/>
    <x v="0"/>
  </r>
  <r>
    <x v="336"/>
    <x v="195"/>
    <x v="3"/>
    <x v="3"/>
    <x v="3"/>
    <x v="10"/>
    <x v="333"/>
    <x v="0"/>
    <x v="0"/>
  </r>
  <r>
    <x v="337"/>
    <x v="195"/>
    <x v="3"/>
    <x v="3"/>
    <x v="6"/>
    <x v="20"/>
    <x v="334"/>
    <x v="0"/>
    <x v="0"/>
  </r>
  <r>
    <x v="338"/>
    <x v="196"/>
    <x v="0"/>
    <x v="0"/>
    <x v="10"/>
    <x v="25"/>
    <x v="335"/>
    <x v="0"/>
    <x v="0"/>
  </r>
  <r>
    <x v="339"/>
    <x v="197"/>
    <x v="3"/>
    <x v="3"/>
    <x v="6"/>
    <x v="21"/>
    <x v="336"/>
    <x v="0"/>
    <x v="0"/>
  </r>
  <r>
    <x v="340"/>
    <x v="198"/>
    <x v="2"/>
    <x v="2"/>
    <x v="5"/>
    <x v="42"/>
    <x v="337"/>
    <x v="0"/>
    <x v="0"/>
  </r>
  <r>
    <x v="341"/>
    <x v="198"/>
    <x v="3"/>
    <x v="3"/>
    <x v="6"/>
    <x v="36"/>
    <x v="338"/>
    <x v="1"/>
    <x v="0"/>
  </r>
  <r>
    <x v="342"/>
    <x v="198"/>
    <x v="4"/>
    <x v="8"/>
    <x v="7"/>
    <x v="19"/>
    <x v="339"/>
    <x v="0"/>
    <x v="0"/>
  </r>
  <r>
    <x v="343"/>
    <x v="199"/>
    <x v="3"/>
    <x v="3"/>
    <x v="11"/>
    <x v="11"/>
    <x v="340"/>
    <x v="0"/>
    <x v="0"/>
  </r>
  <r>
    <x v="344"/>
    <x v="199"/>
    <x v="0"/>
    <x v="10"/>
    <x v="4"/>
    <x v="4"/>
    <x v="341"/>
    <x v="0"/>
    <x v="0"/>
  </r>
  <r>
    <x v="345"/>
    <x v="199"/>
    <x v="4"/>
    <x v="8"/>
    <x v="9"/>
    <x v="64"/>
    <x v="342"/>
    <x v="1"/>
    <x v="0"/>
  </r>
  <r>
    <x v="346"/>
    <x v="200"/>
    <x v="2"/>
    <x v="7"/>
    <x v="6"/>
    <x v="65"/>
    <x v="343"/>
    <x v="1"/>
    <x v="0"/>
  </r>
  <r>
    <x v="347"/>
    <x v="200"/>
    <x v="3"/>
    <x v="6"/>
    <x v="6"/>
    <x v="42"/>
    <x v="344"/>
    <x v="0"/>
    <x v="0"/>
  </r>
  <r>
    <x v="348"/>
    <x v="201"/>
    <x v="1"/>
    <x v="1"/>
    <x v="3"/>
    <x v="35"/>
    <x v="345"/>
    <x v="0"/>
    <x v="0"/>
  </r>
  <r>
    <x v="349"/>
    <x v="202"/>
    <x v="4"/>
    <x v="4"/>
    <x v="7"/>
    <x v="15"/>
    <x v="346"/>
    <x v="0"/>
    <x v="0"/>
  </r>
  <r>
    <x v="350"/>
    <x v="203"/>
    <x v="4"/>
    <x v="8"/>
    <x v="7"/>
    <x v="60"/>
    <x v="347"/>
    <x v="0"/>
    <x v="0"/>
  </r>
  <r>
    <x v="351"/>
    <x v="203"/>
    <x v="0"/>
    <x v="10"/>
    <x v="10"/>
    <x v="8"/>
    <x v="18"/>
    <x v="0"/>
    <x v="0"/>
  </r>
  <r>
    <x v="352"/>
    <x v="203"/>
    <x v="3"/>
    <x v="6"/>
    <x v="3"/>
    <x v="10"/>
    <x v="348"/>
    <x v="0"/>
    <x v="0"/>
  </r>
  <r>
    <x v="353"/>
    <x v="203"/>
    <x v="1"/>
    <x v="1"/>
    <x v="8"/>
    <x v="44"/>
    <x v="349"/>
    <x v="0"/>
    <x v="0"/>
  </r>
  <r>
    <x v="354"/>
    <x v="204"/>
    <x v="4"/>
    <x v="4"/>
    <x v="7"/>
    <x v="20"/>
    <x v="350"/>
    <x v="0"/>
    <x v="0"/>
  </r>
  <r>
    <x v="355"/>
    <x v="204"/>
    <x v="0"/>
    <x v="0"/>
    <x v="10"/>
    <x v="20"/>
    <x v="351"/>
    <x v="0"/>
    <x v="0"/>
  </r>
  <r>
    <x v="356"/>
    <x v="204"/>
    <x v="1"/>
    <x v="1"/>
    <x v="1"/>
    <x v="11"/>
    <x v="352"/>
    <x v="0"/>
    <x v="0"/>
  </r>
  <r>
    <x v="357"/>
    <x v="205"/>
    <x v="1"/>
    <x v="9"/>
    <x v="8"/>
    <x v="11"/>
    <x v="353"/>
    <x v="0"/>
    <x v="0"/>
  </r>
  <r>
    <x v="358"/>
    <x v="206"/>
    <x v="2"/>
    <x v="7"/>
    <x v="5"/>
    <x v="49"/>
    <x v="354"/>
    <x v="0"/>
    <x v="0"/>
  </r>
  <r>
    <x v="359"/>
    <x v="206"/>
    <x v="1"/>
    <x v="1"/>
    <x v="8"/>
    <x v="12"/>
    <x v="355"/>
    <x v="0"/>
    <x v="0"/>
  </r>
  <r>
    <x v="360"/>
    <x v="206"/>
    <x v="4"/>
    <x v="8"/>
    <x v="9"/>
    <x v="66"/>
    <x v="356"/>
    <x v="1"/>
    <x v="0"/>
  </r>
  <r>
    <x v="361"/>
    <x v="207"/>
    <x v="2"/>
    <x v="5"/>
    <x v="2"/>
    <x v="29"/>
    <x v="357"/>
    <x v="1"/>
    <x v="0"/>
  </r>
  <r>
    <x v="362"/>
    <x v="207"/>
    <x v="2"/>
    <x v="7"/>
    <x v="5"/>
    <x v="4"/>
    <x v="358"/>
    <x v="0"/>
    <x v="0"/>
  </r>
  <r>
    <x v="363"/>
    <x v="208"/>
    <x v="4"/>
    <x v="4"/>
    <x v="7"/>
    <x v="7"/>
    <x v="359"/>
    <x v="0"/>
    <x v="0"/>
  </r>
  <r>
    <x v="364"/>
    <x v="208"/>
    <x v="2"/>
    <x v="2"/>
    <x v="5"/>
    <x v="51"/>
    <x v="360"/>
    <x v="0"/>
    <x v="0"/>
  </r>
  <r>
    <x v="365"/>
    <x v="209"/>
    <x v="2"/>
    <x v="5"/>
    <x v="2"/>
    <x v="37"/>
    <x v="361"/>
    <x v="1"/>
    <x v="0"/>
  </r>
  <r>
    <x v="366"/>
    <x v="210"/>
    <x v="2"/>
    <x v="5"/>
    <x v="6"/>
    <x v="9"/>
    <x v="362"/>
    <x v="1"/>
    <x v="0"/>
  </r>
  <r>
    <x v="367"/>
    <x v="210"/>
    <x v="3"/>
    <x v="3"/>
    <x v="6"/>
    <x v="0"/>
    <x v="363"/>
    <x v="0"/>
    <x v="0"/>
  </r>
  <r>
    <x v="368"/>
    <x v="211"/>
    <x v="1"/>
    <x v="1"/>
    <x v="8"/>
    <x v="20"/>
    <x v="364"/>
    <x v="1"/>
    <x v="0"/>
  </r>
  <r>
    <x v="369"/>
    <x v="212"/>
    <x v="2"/>
    <x v="5"/>
    <x v="6"/>
    <x v="33"/>
    <x v="365"/>
    <x v="0"/>
    <x v="0"/>
  </r>
  <r>
    <x v="370"/>
    <x v="213"/>
    <x v="3"/>
    <x v="3"/>
    <x v="6"/>
    <x v="18"/>
    <x v="366"/>
    <x v="0"/>
    <x v="0"/>
  </r>
  <r>
    <x v="371"/>
    <x v="214"/>
    <x v="4"/>
    <x v="8"/>
    <x v="4"/>
    <x v="49"/>
    <x v="367"/>
    <x v="0"/>
    <x v="0"/>
  </r>
  <r>
    <x v="372"/>
    <x v="215"/>
    <x v="2"/>
    <x v="7"/>
    <x v="6"/>
    <x v="20"/>
    <x v="368"/>
    <x v="0"/>
    <x v="0"/>
  </r>
  <r>
    <x v="373"/>
    <x v="215"/>
    <x v="1"/>
    <x v="1"/>
    <x v="3"/>
    <x v="22"/>
    <x v="369"/>
    <x v="0"/>
    <x v="0"/>
  </r>
  <r>
    <x v="374"/>
    <x v="216"/>
    <x v="4"/>
    <x v="4"/>
    <x v="7"/>
    <x v="19"/>
    <x v="370"/>
    <x v="0"/>
    <x v="0"/>
  </r>
  <r>
    <x v="375"/>
    <x v="216"/>
    <x v="0"/>
    <x v="10"/>
    <x v="4"/>
    <x v="65"/>
    <x v="371"/>
    <x v="1"/>
    <x v="0"/>
  </r>
  <r>
    <x v="376"/>
    <x v="217"/>
    <x v="0"/>
    <x v="0"/>
    <x v="10"/>
    <x v="67"/>
    <x v="372"/>
    <x v="1"/>
    <x v="0"/>
  </r>
  <r>
    <x v="377"/>
    <x v="217"/>
    <x v="1"/>
    <x v="9"/>
    <x v="8"/>
    <x v="13"/>
    <x v="373"/>
    <x v="1"/>
    <x v="0"/>
  </r>
  <r>
    <x v="378"/>
    <x v="218"/>
    <x v="3"/>
    <x v="6"/>
    <x v="6"/>
    <x v="0"/>
    <x v="374"/>
    <x v="0"/>
    <x v="0"/>
  </r>
  <r>
    <x v="379"/>
    <x v="219"/>
    <x v="1"/>
    <x v="9"/>
    <x v="8"/>
    <x v="21"/>
    <x v="375"/>
    <x v="0"/>
    <x v="0"/>
  </r>
  <r>
    <x v="380"/>
    <x v="220"/>
    <x v="4"/>
    <x v="8"/>
    <x v="9"/>
    <x v="13"/>
    <x v="376"/>
    <x v="0"/>
    <x v="0"/>
  </r>
  <r>
    <x v="381"/>
    <x v="221"/>
    <x v="2"/>
    <x v="5"/>
    <x v="6"/>
    <x v="51"/>
    <x v="377"/>
    <x v="0"/>
    <x v="0"/>
  </r>
  <r>
    <x v="382"/>
    <x v="221"/>
    <x v="2"/>
    <x v="7"/>
    <x v="2"/>
    <x v="55"/>
    <x v="378"/>
    <x v="1"/>
    <x v="0"/>
  </r>
  <r>
    <x v="383"/>
    <x v="221"/>
    <x v="2"/>
    <x v="7"/>
    <x v="5"/>
    <x v="53"/>
    <x v="379"/>
    <x v="0"/>
    <x v="0"/>
  </r>
  <r>
    <x v="384"/>
    <x v="221"/>
    <x v="0"/>
    <x v="0"/>
    <x v="0"/>
    <x v="22"/>
    <x v="380"/>
    <x v="0"/>
    <x v="0"/>
  </r>
  <r>
    <x v="385"/>
    <x v="222"/>
    <x v="1"/>
    <x v="1"/>
    <x v="3"/>
    <x v="11"/>
    <x v="381"/>
    <x v="0"/>
    <x v="0"/>
  </r>
  <r>
    <x v="386"/>
    <x v="222"/>
    <x v="3"/>
    <x v="6"/>
    <x v="6"/>
    <x v="18"/>
    <x v="247"/>
    <x v="0"/>
    <x v="0"/>
  </r>
  <r>
    <x v="387"/>
    <x v="222"/>
    <x v="1"/>
    <x v="1"/>
    <x v="8"/>
    <x v="32"/>
    <x v="382"/>
    <x v="1"/>
    <x v="0"/>
  </r>
  <r>
    <x v="388"/>
    <x v="222"/>
    <x v="2"/>
    <x v="2"/>
    <x v="2"/>
    <x v="4"/>
    <x v="383"/>
    <x v="0"/>
    <x v="0"/>
  </r>
  <r>
    <x v="389"/>
    <x v="223"/>
    <x v="2"/>
    <x v="7"/>
    <x v="2"/>
    <x v="4"/>
    <x v="384"/>
    <x v="0"/>
    <x v="0"/>
  </r>
  <r>
    <x v="390"/>
    <x v="223"/>
    <x v="4"/>
    <x v="4"/>
    <x v="9"/>
    <x v="48"/>
    <x v="385"/>
    <x v="0"/>
    <x v="0"/>
  </r>
  <r>
    <x v="391"/>
    <x v="224"/>
    <x v="4"/>
    <x v="4"/>
    <x v="9"/>
    <x v="34"/>
    <x v="386"/>
    <x v="0"/>
    <x v="0"/>
  </r>
  <r>
    <x v="392"/>
    <x v="224"/>
    <x v="1"/>
    <x v="9"/>
    <x v="8"/>
    <x v="53"/>
    <x v="387"/>
    <x v="0"/>
    <x v="0"/>
  </r>
  <r>
    <x v="393"/>
    <x v="224"/>
    <x v="4"/>
    <x v="4"/>
    <x v="9"/>
    <x v="13"/>
    <x v="388"/>
    <x v="0"/>
    <x v="0"/>
  </r>
  <r>
    <x v="394"/>
    <x v="225"/>
    <x v="1"/>
    <x v="1"/>
    <x v="3"/>
    <x v="22"/>
    <x v="389"/>
    <x v="0"/>
    <x v="0"/>
  </r>
  <r>
    <x v="395"/>
    <x v="225"/>
    <x v="2"/>
    <x v="2"/>
    <x v="2"/>
    <x v="9"/>
    <x v="390"/>
    <x v="1"/>
    <x v="0"/>
  </r>
  <r>
    <x v="396"/>
    <x v="226"/>
    <x v="4"/>
    <x v="4"/>
    <x v="4"/>
    <x v="13"/>
    <x v="391"/>
    <x v="0"/>
    <x v="0"/>
  </r>
  <r>
    <x v="397"/>
    <x v="227"/>
    <x v="3"/>
    <x v="3"/>
    <x v="3"/>
    <x v="48"/>
    <x v="392"/>
    <x v="1"/>
    <x v="0"/>
  </r>
  <r>
    <x v="398"/>
    <x v="228"/>
    <x v="3"/>
    <x v="6"/>
    <x v="3"/>
    <x v="11"/>
    <x v="207"/>
    <x v="0"/>
    <x v="0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399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</r>
  <r>
    <x v="2"/>
    <x v="1"/>
    <x v="2"/>
    <x v="2"/>
    <x v="2"/>
    <x v="2"/>
    <x v="2"/>
    <x v="0"/>
    <x v="0"/>
  </r>
  <r>
    <x v="3"/>
    <x v="1"/>
    <x v="3"/>
    <x v="3"/>
    <x v="3"/>
    <x v="3"/>
    <x v="3"/>
    <x v="1"/>
    <x v="0"/>
  </r>
  <r>
    <x v="4"/>
    <x v="2"/>
    <x v="4"/>
    <x v="4"/>
    <x v="4"/>
    <x v="4"/>
    <x v="4"/>
    <x v="0"/>
    <x v="0"/>
  </r>
  <r>
    <x v="5"/>
    <x v="3"/>
    <x v="2"/>
    <x v="5"/>
    <x v="5"/>
    <x v="5"/>
    <x v="5"/>
    <x v="0"/>
    <x v="0"/>
  </r>
  <r>
    <x v="6"/>
    <x v="4"/>
    <x v="2"/>
    <x v="5"/>
    <x v="2"/>
    <x v="4"/>
    <x v="6"/>
    <x v="0"/>
    <x v="0"/>
  </r>
  <r>
    <x v="7"/>
    <x v="5"/>
    <x v="3"/>
    <x v="6"/>
    <x v="6"/>
    <x v="6"/>
    <x v="7"/>
    <x v="0"/>
    <x v="0"/>
  </r>
  <r>
    <x v="8"/>
    <x v="5"/>
    <x v="2"/>
    <x v="7"/>
    <x v="2"/>
    <x v="0"/>
    <x v="8"/>
    <x v="0"/>
    <x v="0"/>
  </r>
  <r>
    <x v="9"/>
    <x v="6"/>
    <x v="4"/>
    <x v="8"/>
    <x v="7"/>
    <x v="7"/>
    <x v="9"/>
    <x v="0"/>
    <x v="0"/>
  </r>
  <r>
    <x v="10"/>
    <x v="6"/>
    <x v="4"/>
    <x v="8"/>
    <x v="7"/>
    <x v="2"/>
    <x v="10"/>
    <x v="0"/>
    <x v="0"/>
  </r>
  <r>
    <x v="11"/>
    <x v="7"/>
    <x v="1"/>
    <x v="9"/>
    <x v="8"/>
    <x v="8"/>
    <x v="11"/>
    <x v="0"/>
    <x v="0"/>
  </r>
  <r>
    <x v="12"/>
    <x v="8"/>
    <x v="2"/>
    <x v="7"/>
    <x v="2"/>
    <x v="9"/>
    <x v="12"/>
    <x v="1"/>
    <x v="0"/>
  </r>
  <r>
    <x v="13"/>
    <x v="8"/>
    <x v="1"/>
    <x v="9"/>
    <x v="1"/>
    <x v="10"/>
    <x v="13"/>
    <x v="0"/>
    <x v="0"/>
  </r>
  <r>
    <x v="14"/>
    <x v="9"/>
    <x v="1"/>
    <x v="9"/>
    <x v="8"/>
    <x v="11"/>
    <x v="14"/>
    <x v="0"/>
    <x v="0"/>
  </r>
  <r>
    <x v="15"/>
    <x v="9"/>
    <x v="1"/>
    <x v="1"/>
    <x v="8"/>
    <x v="12"/>
    <x v="15"/>
    <x v="0"/>
    <x v="0"/>
  </r>
  <r>
    <x v="16"/>
    <x v="10"/>
    <x v="2"/>
    <x v="7"/>
    <x v="6"/>
    <x v="13"/>
    <x v="16"/>
    <x v="0"/>
    <x v="0"/>
  </r>
  <r>
    <x v="17"/>
    <x v="10"/>
    <x v="4"/>
    <x v="8"/>
    <x v="9"/>
    <x v="14"/>
    <x v="17"/>
    <x v="0"/>
    <x v="0"/>
  </r>
  <r>
    <x v="18"/>
    <x v="10"/>
    <x v="3"/>
    <x v="6"/>
    <x v="6"/>
    <x v="15"/>
    <x v="18"/>
    <x v="0"/>
    <x v="0"/>
  </r>
  <r>
    <x v="19"/>
    <x v="11"/>
    <x v="2"/>
    <x v="5"/>
    <x v="5"/>
    <x v="6"/>
    <x v="19"/>
    <x v="0"/>
    <x v="0"/>
  </r>
  <r>
    <x v="20"/>
    <x v="12"/>
    <x v="0"/>
    <x v="10"/>
    <x v="4"/>
    <x v="13"/>
    <x v="20"/>
    <x v="0"/>
    <x v="0"/>
  </r>
  <r>
    <x v="21"/>
    <x v="12"/>
    <x v="0"/>
    <x v="10"/>
    <x v="10"/>
    <x v="2"/>
    <x v="21"/>
    <x v="0"/>
    <x v="0"/>
  </r>
  <r>
    <x v="22"/>
    <x v="13"/>
    <x v="1"/>
    <x v="1"/>
    <x v="3"/>
    <x v="16"/>
    <x v="22"/>
    <x v="0"/>
    <x v="0"/>
  </r>
  <r>
    <x v="23"/>
    <x v="13"/>
    <x v="2"/>
    <x v="7"/>
    <x v="2"/>
    <x v="3"/>
    <x v="23"/>
    <x v="0"/>
    <x v="0"/>
  </r>
  <r>
    <x v="24"/>
    <x v="13"/>
    <x v="1"/>
    <x v="1"/>
    <x v="1"/>
    <x v="17"/>
    <x v="24"/>
    <x v="0"/>
    <x v="0"/>
  </r>
  <r>
    <x v="25"/>
    <x v="13"/>
    <x v="3"/>
    <x v="6"/>
    <x v="11"/>
    <x v="18"/>
    <x v="25"/>
    <x v="0"/>
    <x v="0"/>
  </r>
  <r>
    <x v="26"/>
    <x v="14"/>
    <x v="0"/>
    <x v="10"/>
    <x v="4"/>
    <x v="18"/>
    <x v="26"/>
    <x v="0"/>
    <x v="0"/>
  </r>
  <r>
    <x v="27"/>
    <x v="14"/>
    <x v="3"/>
    <x v="6"/>
    <x v="6"/>
    <x v="19"/>
    <x v="27"/>
    <x v="0"/>
    <x v="0"/>
  </r>
  <r>
    <x v="28"/>
    <x v="15"/>
    <x v="2"/>
    <x v="5"/>
    <x v="5"/>
    <x v="20"/>
    <x v="28"/>
    <x v="0"/>
    <x v="0"/>
  </r>
  <r>
    <x v="29"/>
    <x v="15"/>
    <x v="2"/>
    <x v="7"/>
    <x v="5"/>
    <x v="21"/>
    <x v="29"/>
    <x v="0"/>
    <x v="0"/>
  </r>
  <r>
    <x v="30"/>
    <x v="15"/>
    <x v="1"/>
    <x v="9"/>
    <x v="1"/>
    <x v="10"/>
    <x v="30"/>
    <x v="0"/>
    <x v="0"/>
  </r>
  <r>
    <x v="31"/>
    <x v="16"/>
    <x v="1"/>
    <x v="9"/>
    <x v="1"/>
    <x v="0"/>
    <x v="31"/>
    <x v="0"/>
    <x v="0"/>
  </r>
  <r>
    <x v="32"/>
    <x v="16"/>
    <x v="3"/>
    <x v="6"/>
    <x v="6"/>
    <x v="5"/>
    <x v="32"/>
    <x v="0"/>
    <x v="0"/>
  </r>
  <r>
    <x v="33"/>
    <x v="17"/>
    <x v="1"/>
    <x v="1"/>
    <x v="1"/>
    <x v="22"/>
    <x v="33"/>
    <x v="0"/>
    <x v="0"/>
  </r>
  <r>
    <x v="34"/>
    <x v="18"/>
    <x v="2"/>
    <x v="2"/>
    <x v="6"/>
    <x v="18"/>
    <x v="34"/>
    <x v="0"/>
    <x v="0"/>
  </r>
  <r>
    <x v="35"/>
    <x v="19"/>
    <x v="0"/>
    <x v="10"/>
    <x v="4"/>
    <x v="19"/>
    <x v="35"/>
    <x v="0"/>
    <x v="0"/>
  </r>
  <r>
    <x v="36"/>
    <x v="20"/>
    <x v="4"/>
    <x v="4"/>
    <x v="7"/>
    <x v="1"/>
    <x v="36"/>
    <x v="0"/>
    <x v="0"/>
  </r>
  <r>
    <x v="37"/>
    <x v="20"/>
    <x v="1"/>
    <x v="1"/>
    <x v="8"/>
    <x v="23"/>
    <x v="37"/>
    <x v="0"/>
    <x v="0"/>
  </r>
  <r>
    <x v="38"/>
    <x v="20"/>
    <x v="3"/>
    <x v="3"/>
    <x v="3"/>
    <x v="14"/>
    <x v="38"/>
    <x v="0"/>
    <x v="0"/>
  </r>
  <r>
    <x v="39"/>
    <x v="20"/>
    <x v="4"/>
    <x v="8"/>
    <x v="4"/>
    <x v="24"/>
    <x v="39"/>
    <x v="0"/>
    <x v="0"/>
  </r>
  <r>
    <x v="40"/>
    <x v="20"/>
    <x v="2"/>
    <x v="2"/>
    <x v="6"/>
    <x v="15"/>
    <x v="40"/>
    <x v="0"/>
    <x v="0"/>
  </r>
  <r>
    <x v="41"/>
    <x v="21"/>
    <x v="1"/>
    <x v="1"/>
    <x v="8"/>
    <x v="23"/>
    <x v="41"/>
    <x v="0"/>
    <x v="0"/>
  </r>
  <r>
    <x v="42"/>
    <x v="22"/>
    <x v="0"/>
    <x v="10"/>
    <x v="10"/>
    <x v="25"/>
    <x v="42"/>
    <x v="0"/>
    <x v="0"/>
  </r>
  <r>
    <x v="43"/>
    <x v="22"/>
    <x v="2"/>
    <x v="2"/>
    <x v="6"/>
    <x v="15"/>
    <x v="43"/>
    <x v="0"/>
    <x v="0"/>
  </r>
  <r>
    <x v="44"/>
    <x v="22"/>
    <x v="2"/>
    <x v="7"/>
    <x v="5"/>
    <x v="11"/>
    <x v="44"/>
    <x v="0"/>
    <x v="0"/>
  </r>
  <r>
    <x v="45"/>
    <x v="22"/>
    <x v="2"/>
    <x v="7"/>
    <x v="6"/>
    <x v="2"/>
    <x v="45"/>
    <x v="0"/>
    <x v="0"/>
  </r>
  <r>
    <x v="46"/>
    <x v="23"/>
    <x v="2"/>
    <x v="7"/>
    <x v="2"/>
    <x v="26"/>
    <x v="46"/>
    <x v="0"/>
    <x v="0"/>
  </r>
  <r>
    <x v="47"/>
    <x v="23"/>
    <x v="0"/>
    <x v="10"/>
    <x v="10"/>
    <x v="24"/>
    <x v="47"/>
    <x v="1"/>
    <x v="0"/>
  </r>
  <r>
    <x v="48"/>
    <x v="24"/>
    <x v="3"/>
    <x v="3"/>
    <x v="3"/>
    <x v="6"/>
    <x v="48"/>
    <x v="0"/>
    <x v="0"/>
  </r>
  <r>
    <x v="49"/>
    <x v="24"/>
    <x v="2"/>
    <x v="5"/>
    <x v="5"/>
    <x v="27"/>
    <x v="49"/>
    <x v="0"/>
    <x v="0"/>
  </r>
  <r>
    <x v="50"/>
    <x v="24"/>
    <x v="2"/>
    <x v="7"/>
    <x v="6"/>
    <x v="16"/>
    <x v="50"/>
    <x v="0"/>
    <x v="0"/>
  </r>
  <r>
    <x v="51"/>
    <x v="25"/>
    <x v="2"/>
    <x v="7"/>
    <x v="6"/>
    <x v="13"/>
    <x v="51"/>
    <x v="0"/>
    <x v="0"/>
  </r>
  <r>
    <x v="52"/>
    <x v="26"/>
    <x v="0"/>
    <x v="0"/>
    <x v="0"/>
    <x v="28"/>
    <x v="52"/>
    <x v="0"/>
    <x v="0"/>
  </r>
  <r>
    <x v="53"/>
    <x v="26"/>
    <x v="3"/>
    <x v="6"/>
    <x v="3"/>
    <x v="5"/>
    <x v="53"/>
    <x v="0"/>
    <x v="0"/>
  </r>
  <r>
    <x v="54"/>
    <x v="27"/>
    <x v="3"/>
    <x v="6"/>
    <x v="6"/>
    <x v="22"/>
    <x v="54"/>
    <x v="0"/>
    <x v="0"/>
  </r>
  <r>
    <x v="55"/>
    <x v="27"/>
    <x v="2"/>
    <x v="2"/>
    <x v="5"/>
    <x v="29"/>
    <x v="55"/>
    <x v="1"/>
    <x v="0"/>
  </r>
  <r>
    <x v="56"/>
    <x v="28"/>
    <x v="2"/>
    <x v="2"/>
    <x v="5"/>
    <x v="30"/>
    <x v="56"/>
    <x v="1"/>
    <x v="0"/>
  </r>
  <r>
    <x v="57"/>
    <x v="28"/>
    <x v="0"/>
    <x v="10"/>
    <x v="0"/>
    <x v="23"/>
    <x v="57"/>
    <x v="0"/>
    <x v="0"/>
  </r>
  <r>
    <x v="58"/>
    <x v="29"/>
    <x v="1"/>
    <x v="1"/>
    <x v="8"/>
    <x v="6"/>
    <x v="58"/>
    <x v="0"/>
    <x v="0"/>
  </r>
  <r>
    <x v="59"/>
    <x v="30"/>
    <x v="2"/>
    <x v="2"/>
    <x v="5"/>
    <x v="4"/>
    <x v="59"/>
    <x v="0"/>
    <x v="0"/>
  </r>
  <r>
    <x v="60"/>
    <x v="30"/>
    <x v="4"/>
    <x v="8"/>
    <x v="4"/>
    <x v="31"/>
    <x v="60"/>
    <x v="1"/>
    <x v="0"/>
  </r>
  <r>
    <x v="61"/>
    <x v="31"/>
    <x v="3"/>
    <x v="6"/>
    <x v="3"/>
    <x v="11"/>
    <x v="61"/>
    <x v="0"/>
    <x v="0"/>
  </r>
  <r>
    <x v="62"/>
    <x v="32"/>
    <x v="0"/>
    <x v="0"/>
    <x v="4"/>
    <x v="10"/>
    <x v="62"/>
    <x v="0"/>
    <x v="0"/>
  </r>
  <r>
    <x v="63"/>
    <x v="33"/>
    <x v="3"/>
    <x v="3"/>
    <x v="6"/>
    <x v="16"/>
    <x v="63"/>
    <x v="0"/>
    <x v="0"/>
  </r>
  <r>
    <x v="64"/>
    <x v="33"/>
    <x v="2"/>
    <x v="5"/>
    <x v="2"/>
    <x v="32"/>
    <x v="64"/>
    <x v="0"/>
    <x v="0"/>
  </r>
  <r>
    <x v="65"/>
    <x v="34"/>
    <x v="1"/>
    <x v="1"/>
    <x v="3"/>
    <x v="33"/>
    <x v="65"/>
    <x v="0"/>
    <x v="0"/>
  </r>
  <r>
    <x v="66"/>
    <x v="35"/>
    <x v="3"/>
    <x v="6"/>
    <x v="6"/>
    <x v="6"/>
    <x v="66"/>
    <x v="0"/>
    <x v="0"/>
  </r>
  <r>
    <x v="67"/>
    <x v="35"/>
    <x v="0"/>
    <x v="10"/>
    <x v="10"/>
    <x v="17"/>
    <x v="67"/>
    <x v="0"/>
    <x v="0"/>
  </r>
  <r>
    <x v="68"/>
    <x v="35"/>
    <x v="2"/>
    <x v="2"/>
    <x v="6"/>
    <x v="34"/>
    <x v="68"/>
    <x v="0"/>
    <x v="0"/>
  </r>
  <r>
    <x v="69"/>
    <x v="36"/>
    <x v="0"/>
    <x v="10"/>
    <x v="0"/>
    <x v="35"/>
    <x v="69"/>
    <x v="0"/>
    <x v="0"/>
  </r>
  <r>
    <x v="70"/>
    <x v="36"/>
    <x v="1"/>
    <x v="1"/>
    <x v="1"/>
    <x v="4"/>
    <x v="70"/>
    <x v="0"/>
    <x v="0"/>
  </r>
  <r>
    <x v="71"/>
    <x v="37"/>
    <x v="3"/>
    <x v="3"/>
    <x v="3"/>
    <x v="10"/>
    <x v="71"/>
    <x v="0"/>
    <x v="0"/>
  </r>
  <r>
    <x v="72"/>
    <x v="37"/>
    <x v="3"/>
    <x v="6"/>
    <x v="3"/>
    <x v="11"/>
    <x v="72"/>
    <x v="0"/>
    <x v="0"/>
  </r>
  <r>
    <x v="73"/>
    <x v="38"/>
    <x v="0"/>
    <x v="0"/>
    <x v="4"/>
    <x v="14"/>
    <x v="73"/>
    <x v="0"/>
    <x v="0"/>
  </r>
  <r>
    <x v="74"/>
    <x v="38"/>
    <x v="1"/>
    <x v="1"/>
    <x v="8"/>
    <x v="18"/>
    <x v="74"/>
    <x v="0"/>
    <x v="0"/>
  </r>
  <r>
    <x v="75"/>
    <x v="38"/>
    <x v="3"/>
    <x v="3"/>
    <x v="6"/>
    <x v="5"/>
    <x v="75"/>
    <x v="0"/>
    <x v="0"/>
  </r>
  <r>
    <x v="76"/>
    <x v="39"/>
    <x v="0"/>
    <x v="0"/>
    <x v="4"/>
    <x v="36"/>
    <x v="76"/>
    <x v="0"/>
    <x v="0"/>
  </r>
  <r>
    <x v="77"/>
    <x v="40"/>
    <x v="2"/>
    <x v="7"/>
    <x v="2"/>
    <x v="14"/>
    <x v="77"/>
    <x v="0"/>
    <x v="0"/>
  </r>
  <r>
    <x v="78"/>
    <x v="40"/>
    <x v="2"/>
    <x v="2"/>
    <x v="5"/>
    <x v="32"/>
    <x v="78"/>
    <x v="0"/>
    <x v="0"/>
  </r>
  <r>
    <x v="79"/>
    <x v="40"/>
    <x v="3"/>
    <x v="6"/>
    <x v="3"/>
    <x v="32"/>
    <x v="79"/>
    <x v="0"/>
    <x v="0"/>
  </r>
  <r>
    <x v="80"/>
    <x v="41"/>
    <x v="2"/>
    <x v="2"/>
    <x v="2"/>
    <x v="1"/>
    <x v="80"/>
    <x v="0"/>
    <x v="0"/>
  </r>
  <r>
    <x v="81"/>
    <x v="41"/>
    <x v="2"/>
    <x v="2"/>
    <x v="5"/>
    <x v="34"/>
    <x v="81"/>
    <x v="0"/>
    <x v="0"/>
  </r>
  <r>
    <x v="82"/>
    <x v="42"/>
    <x v="2"/>
    <x v="5"/>
    <x v="6"/>
    <x v="26"/>
    <x v="82"/>
    <x v="0"/>
    <x v="0"/>
  </r>
  <r>
    <x v="83"/>
    <x v="43"/>
    <x v="0"/>
    <x v="10"/>
    <x v="4"/>
    <x v="20"/>
    <x v="83"/>
    <x v="0"/>
    <x v="0"/>
  </r>
  <r>
    <x v="84"/>
    <x v="44"/>
    <x v="3"/>
    <x v="3"/>
    <x v="6"/>
    <x v="8"/>
    <x v="84"/>
    <x v="0"/>
    <x v="0"/>
  </r>
  <r>
    <x v="85"/>
    <x v="44"/>
    <x v="0"/>
    <x v="0"/>
    <x v="4"/>
    <x v="32"/>
    <x v="85"/>
    <x v="0"/>
    <x v="0"/>
  </r>
  <r>
    <x v="86"/>
    <x v="45"/>
    <x v="2"/>
    <x v="2"/>
    <x v="2"/>
    <x v="37"/>
    <x v="86"/>
    <x v="1"/>
    <x v="0"/>
  </r>
  <r>
    <x v="87"/>
    <x v="45"/>
    <x v="1"/>
    <x v="9"/>
    <x v="1"/>
    <x v="33"/>
    <x v="87"/>
    <x v="0"/>
    <x v="0"/>
  </r>
  <r>
    <x v="88"/>
    <x v="46"/>
    <x v="0"/>
    <x v="0"/>
    <x v="0"/>
    <x v="17"/>
    <x v="88"/>
    <x v="0"/>
    <x v="0"/>
  </r>
  <r>
    <x v="89"/>
    <x v="47"/>
    <x v="2"/>
    <x v="2"/>
    <x v="2"/>
    <x v="13"/>
    <x v="89"/>
    <x v="0"/>
    <x v="0"/>
  </r>
  <r>
    <x v="90"/>
    <x v="48"/>
    <x v="2"/>
    <x v="5"/>
    <x v="6"/>
    <x v="24"/>
    <x v="90"/>
    <x v="0"/>
    <x v="0"/>
  </r>
  <r>
    <x v="91"/>
    <x v="48"/>
    <x v="1"/>
    <x v="9"/>
    <x v="8"/>
    <x v="16"/>
    <x v="91"/>
    <x v="0"/>
    <x v="0"/>
  </r>
  <r>
    <x v="92"/>
    <x v="49"/>
    <x v="0"/>
    <x v="10"/>
    <x v="0"/>
    <x v="38"/>
    <x v="92"/>
    <x v="0"/>
    <x v="0"/>
  </r>
  <r>
    <x v="93"/>
    <x v="50"/>
    <x v="4"/>
    <x v="4"/>
    <x v="4"/>
    <x v="12"/>
    <x v="93"/>
    <x v="0"/>
    <x v="0"/>
  </r>
  <r>
    <x v="94"/>
    <x v="51"/>
    <x v="2"/>
    <x v="7"/>
    <x v="5"/>
    <x v="10"/>
    <x v="94"/>
    <x v="0"/>
    <x v="0"/>
  </r>
  <r>
    <x v="95"/>
    <x v="51"/>
    <x v="1"/>
    <x v="1"/>
    <x v="3"/>
    <x v="6"/>
    <x v="95"/>
    <x v="0"/>
    <x v="0"/>
  </r>
  <r>
    <x v="96"/>
    <x v="52"/>
    <x v="2"/>
    <x v="5"/>
    <x v="2"/>
    <x v="28"/>
    <x v="96"/>
    <x v="0"/>
    <x v="0"/>
  </r>
  <r>
    <x v="97"/>
    <x v="53"/>
    <x v="4"/>
    <x v="4"/>
    <x v="7"/>
    <x v="25"/>
    <x v="97"/>
    <x v="0"/>
    <x v="0"/>
  </r>
  <r>
    <x v="98"/>
    <x v="54"/>
    <x v="0"/>
    <x v="0"/>
    <x v="10"/>
    <x v="39"/>
    <x v="98"/>
    <x v="0"/>
    <x v="0"/>
  </r>
  <r>
    <x v="99"/>
    <x v="55"/>
    <x v="0"/>
    <x v="0"/>
    <x v="4"/>
    <x v="40"/>
    <x v="99"/>
    <x v="0"/>
    <x v="0"/>
  </r>
  <r>
    <x v="100"/>
    <x v="56"/>
    <x v="3"/>
    <x v="3"/>
    <x v="6"/>
    <x v="22"/>
    <x v="100"/>
    <x v="0"/>
    <x v="0"/>
  </r>
  <r>
    <x v="101"/>
    <x v="57"/>
    <x v="3"/>
    <x v="6"/>
    <x v="3"/>
    <x v="6"/>
    <x v="101"/>
    <x v="0"/>
    <x v="0"/>
  </r>
  <r>
    <x v="102"/>
    <x v="58"/>
    <x v="0"/>
    <x v="10"/>
    <x v="0"/>
    <x v="18"/>
    <x v="102"/>
    <x v="0"/>
    <x v="0"/>
  </r>
  <r>
    <x v="103"/>
    <x v="58"/>
    <x v="1"/>
    <x v="1"/>
    <x v="3"/>
    <x v="41"/>
    <x v="103"/>
    <x v="0"/>
    <x v="0"/>
  </r>
  <r>
    <x v="104"/>
    <x v="59"/>
    <x v="2"/>
    <x v="2"/>
    <x v="2"/>
    <x v="35"/>
    <x v="104"/>
    <x v="0"/>
    <x v="0"/>
  </r>
  <r>
    <x v="105"/>
    <x v="59"/>
    <x v="0"/>
    <x v="10"/>
    <x v="10"/>
    <x v="5"/>
    <x v="105"/>
    <x v="0"/>
    <x v="0"/>
  </r>
  <r>
    <x v="106"/>
    <x v="60"/>
    <x v="1"/>
    <x v="9"/>
    <x v="8"/>
    <x v="21"/>
    <x v="106"/>
    <x v="0"/>
    <x v="0"/>
  </r>
  <r>
    <x v="107"/>
    <x v="61"/>
    <x v="2"/>
    <x v="5"/>
    <x v="2"/>
    <x v="0"/>
    <x v="107"/>
    <x v="0"/>
    <x v="0"/>
  </r>
  <r>
    <x v="108"/>
    <x v="62"/>
    <x v="2"/>
    <x v="2"/>
    <x v="2"/>
    <x v="24"/>
    <x v="108"/>
    <x v="0"/>
    <x v="0"/>
  </r>
  <r>
    <x v="109"/>
    <x v="63"/>
    <x v="2"/>
    <x v="2"/>
    <x v="2"/>
    <x v="8"/>
    <x v="109"/>
    <x v="0"/>
    <x v="0"/>
  </r>
  <r>
    <x v="110"/>
    <x v="63"/>
    <x v="0"/>
    <x v="0"/>
    <x v="4"/>
    <x v="42"/>
    <x v="110"/>
    <x v="0"/>
    <x v="0"/>
  </r>
  <r>
    <x v="111"/>
    <x v="64"/>
    <x v="2"/>
    <x v="7"/>
    <x v="2"/>
    <x v="15"/>
    <x v="111"/>
    <x v="0"/>
    <x v="0"/>
  </r>
  <r>
    <x v="112"/>
    <x v="64"/>
    <x v="2"/>
    <x v="5"/>
    <x v="5"/>
    <x v="39"/>
    <x v="112"/>
    <x v="0"/>
    <x v="0"/>
  </r>
  <r>
    <x v="113"/>
    <x v="64"/>
    <x v="2"/>
    <x v="2"/>
    <x v="6"/>
    <x v="20"/>
    <x v="113"/>
    <x v="0"/>
    <x v="0"/>
  </r>
  <r>
    <x v="114"/>
    <x v="65"/>
    <x v="1"/>
    <x v="9"/>
    <x v="1"/>
    <x v="10"/>
    <x v="114"/>
    <x v="0"/>
    <x v="0"/>
  </r>
  <r>
    <x v="115"/>
    <x v="65"/>
    <x v="2"/>
    <x v="5"/>
    <x v="6"/>
    <x v="43"/>
    <x v="115"/>
    <x v="1"/>
    <x v="0"/>
  </r>
  <r>
    <x v="116"/>
    <x v="66"/>
    <x v="0"/>
    <x v="10"/>
    <x v="4"/>
    <x v="8"/>
    <x v="116"/>
    <x v="0"/>
    <x v="0"/>
  </r>
  <r>
    <x v="117"/>
    <x v="66"/>
    <x v="3"/>
    <x v="3"/>
    <x v="11"/>
    <x v="12"/>
    <x v="117"/>
    <x v="0"/>
    <x v="0"/>
  </r>
  <r>
    <x v="118"/>
    <x v="67"/>
    <x v="4"/>
    <x v="8"/>
    <x v="9"/>
    <x v="26"/>
    <x v="118"/>
    <x v="0"/>
    <x v="0"/>
  </r>
  <r>
    <x v="119"/>
    <x v="67"/>
    <x v="1"/>
    <x v="9"/>
    <x v="1"/>
    <x v="44"/>
    <x v="119"/>
    <x v="0"/>
    <x v="0"/>
  </r>
  <r>
    <x v="120"/>
    <x v="67"/>
    <x v="2"/>
    <x v="5"/>
    <x v="2"/>
    <x v="45"/>
    <x v="120"/>
    <x v="0"/>
    <x v="0"/>
  </r>
  <r>
    <x v="121"/>
    <x v="67"/>
    <x v="2"/>
    <x v="5"/>
    <x v="6"/>
    <x v="18"/>
    <x v="121"/>
    <x v="0"/>
    <x v="0"/>
  </r>
  <r>
    <x v="122"/>
    <x v="68"/>
    <x v="4"/>
    <x v="4"/>
    <x v="7"/>
    <x v="46"/>
    <x v="122"/>
    <x v="0"/>
    <x v="0"/>
  </r>
  <r>
    <x v="123"/>
    <x v="68"/>
    <x v="3"/>
    <x v="6"/>
    <x v="11"/>
    <x v="3"/>
    <x v="123"/>
    <x v="1"/>
    <x v="0"/>
  </r>
  <r>
    <x v="124"/>
    <x v="68"/>
    <x v="2"/>
    <x v="7"/>
    <x v="2"/>
    <x v="16"/>
    <x v="124"/>
    <x v="0"/>
    <x v="0"/>
  </r>
  <r>
    <x v="125"/>
    <x v="68"/>
    <x v="3"/>
    <x v="3"/>
    <x v="11"/>
    <x v="47"/>
    <x v="125"/>
    <x v="0"/>
    <x v="0"/>
  </r>
  <r>
    <x v="126"/>
    <x v="69"/>
    <x v="3"/>
    <x v="6"/>
    <x v="6"/>
    <x v="19"/>
    <x v="126"/>
    <x v="0"/>
    <x v="0"/>
  </r>
  <r>
    <x v="127"/>
    <x v="69"/>
    <x v="2"/>
    <x v="7"/>
    <x v="2"/>
    <x v="40"/>
    <x v="127"/>
    <x v="0"/>
    <x v="0"/>
  </r>
  <r>
    <x v="128"/>
    <x v="70"/>
    <x v="2"/>
    <x v="2"/>
    <x v="5"/>
    <x v="2"/>
    <x v="128"/>
    <x v="0"/>
    <x v="0"/>
  </r>
  <r>
    <x v="129"/>
    <x v="71"/>
    <x v="0"/>
    <x v="10"/>
    <x v="0"/>
    <x v="36"/>
    <x v="129"/>
    <x v="0"/>
    <x v="0"/>
  </r>
  <r>
    <x v="130"/>
    <x v="72"/>
    <x v="0"/>
    <x v="0"/>
    <x v="10"/>
    <x v="25"/>
    <x v="130"/>
    <x v="0"/>
    <x v="0"/>
  </r>
  <r>
    <x v="131"/>
    <x v="73"/>
    <x v="4"/>
    <x v="8"/>
    <x v="9"/>
    <x v="14"/>
    <x v="131"/>
    <x v="0"/>
    <x v="0"/>
  </r>
  <r>
    <x v="132"/>
    <x v="73"/>
    <x v="2"/>
    <x v="2"/>
    <x v="5"/>
    <x v="5"/>
    <x v="132"/>
    <x v="0"/>
    <x v="0"/>
  </r>
  <r>
    <x v="133"/>
    <x v="73"/>
    <x v="0"/>
    <x v="0"/>
    <x v="0"/>
    <x v="11"/>
    <x v="133"/>
    <x v="0"/>
    <x v="0"/>
  </r>
  <r>
    <x v="134"/>
    <x v="74"/>
    <x v="1"/>
    <x v="9"/>
    <x v="3"/>
    <x v="10"/>
    <x v="134"/>
    <x v="0"/>
    <x v="0"/>
  </r>
  <r>
    <x v="135"/>
    <x v="75"/>
    <x v="2"/>
    <x v="2"/>
    <x v="6"/>
    <x v="48"/>
    <x v="135"/>
    <x v="0"/>
    <x v="0"/>
  </r>
  <r>
    <x v="136"/>
    <x v="76"/>
    <x v="1"/>
    <x v="1"/>
    <x v="3"/>
    <x v="15"/>
    <x v="136"/>
    <x v="0"/>
    <x v="0"/>
  </r>
  <r>
    <x v="137"/>
    <x v="77"/>
    <x v="3"/>
    <x v="3"/>
    <x v="11"/>
    <x v="49"/>
    <x v="137"/>
    <x v="0"/>
    <x v="0"/>
  </r>
  <r>
    <x v="138"/>
    <x v="78"/>
    <x v="3"/>
    <x v="6"/>
    <x v="3"/>
    <x v="12"/>
    <x v="138"/>
    <x v="0"/>
    <x v="0"/>
  </r>
  <r>
    <x v="139"/>
    <x v="78"/>
    <x v="2"/>
    <x v="2"/>
    <x v="6"/>
    <x v="50"/>
    <x v="139"/>
    <x v="1"/>
    <x v="0"/>
  </r>
  <r>
    <x v="140"/>
    <x v="79"/>
    <x v="2"/>
    <x v="5"/>
    <x v="5"/>
    <x v="34"/>
    <x v="140"/>
    <x v="0"/>
    <x v="0"/>
  </r>
  <r>
    <x v="141"/>
    <x v="80"/>
    <x v="2"/>
    <x v="2"/>
    <x v="5"/>
    <x v="2"/>
    <x v="141"/>
    <x v="0"/>
    <x v="0"/>
  </r>
  <r>
    <x v="142"/>
    <x v="80"/>
    <x v="2"/>
    <x v="5"/>
    <x v="2"/>
    <x v="36"/>
    <x v="142"/>
    <x v="0"/>
    <x v="0"/>
  </r>
  <r>
    <x v="143"/>
    <x v="81"/>
    <x v="3"/>
    <x v="3"/>
    <x v="3"/>
    <x v="34"/>
    <x v="58"/>
    <x v="0"/>
    <x v="0"/>
  </r>
  <r>
    <x v="144"/>
    <x v="82"/>
    <x v="2"/>
    <x v="7"/>
    <x v="5"/>
    <x v="25"/>
    <x v="143"/>
    <x v="0"/>
    <x v="0"/>
  </r>
  <r>
    <x v="145"/>
    <x v="82"/>
    <x v="4"/>
    <x v="8"/>
    <x v="7"/>
    <x v="51"/>
    <x v="144"/>
    <x v="0"/>
    <x v="0"/>
  </r>
  <r>
    <x v="146"/>
    <x v="83"/>
    <x v="0"/>
    <x v="0"/>
    <x v="10"/>
    <x v="4"/>
    <x v="145"/>
    <x v="0"/>
    <x v="0"/>
  </r>
  <r>
    <x v="147"/>
    <x v="84"/>
    <x v="1"/>
    <x v="9"/>
    <x v="3"/>
    <x v="35"/>
    <x v="146"/>
    <x v="0"/>
    <x v="0"/>
  </r>
  <r>
    <x v="148"/>
    <x v="84"/>
    <x v="2"/>
    <x v="5"/>
    <x v="5"/>
    <x v="6"/>
    <x v="147"/>
    <x v="0"/>
    <x v="0"/>
  </r>
  <r>
    <x v="149"/>
    <x v="84"/>
    <x v="1"/>
    <x v="1"/>
    <x v="3"/>
    <x v="42"/>
    <x v="148"/>
    <x v="1"/>
    <x v="0"/>
  </r>
  <r>
    <x v="150"/>
    <x v="84"/>
    <x v="1"/>
    <x v="9"/>
    <x v="1"/>
    <x v="38"/>
    <x v="149"/>
    <x v="0"/>
    <x v="0"/>
  </r>
  <r>
    <x v="151"/>
    <x v="85"/>
    <x v="4"/>
    <x v="8"/>
    <x v="4"/>
    <x v="36"/>
    <x v="150"/>
    <x v="0"/>
    <x v="0"/>
  </r>
  <r>
    <x v="152"/>
    <x v="86"/>
    <x v="3"/>
    <x v="3"/>
    <x v="3"/>
    <x v="36"/>
    <x v="151"/>
    <x v="1"/>
    <x v="0"/>
  </r>
  <r>
    <x v="153"/>
    <x v="87"/>
    <x v="2"/>
    <x v="7"/>
    <x v="5"/>
    <x v="13"/>
    <x v="152"/>
    <x v="0"/>
    <x v="0"/>
  </r>
  <r>
    <x v="154"/>
    <x v="87"/>
    <x v="3"/>
    <x v="3"/>
    <x v="6"/>
    <x v="4"/>
    <x v="153"/>
    <x v="0"/>
    <x v="0"/>
  </r>
  <r>
    <x v="155"/>
    <x v="88"/>
    <x v="1"/>
    <x v="9"/>
    <x v="3"/>
    <x v="44"/>
    <x v="154"/>
    <x v="0"/>
    <x v="0"/>
  </r>
  <r>
    <x v="156"/>
    <x v="88"/>
    <x v="1"/>
    <x v="9"/>
    <x v="1"/>
    <x v="22"/>
    <x v="155"/>
    <x v="0"/>
    <x v="0"/>
  </r>
  <r>
    <x v="157"/>
    <x v="88"/>
    <x v="2"/>
    <x v="2"/>
    <x v="5"/>
    <x v="45"/>
    <x v="156"/>
    <x v="0"/>
    <x v="0"/>
  </r>
  <r>
    <x v="158"/>
    <x v="89"/>
    <x v="4"/>
    <x v="4"/>
    <x v="9"/>
    <x v="1"/>
    <x v="157"/>
    <x v="0"/>
    <x v="0"/>
  </r>
  <r>
    <x v="159"/>
    <x v="89"/>
    <x v="3"/>
    <x v="3"/>
    <x v="11"/>
    <x v="11"/>
    <x v="158"/>
    <x v="0"/>
    <x v="0"/>
  </r>
  <r>
    <x v="160"/>
    <x v="90"/>
    <x v="2"/>
    <x v="7"/>
    <x v="6"/>
    <x v="11"/>
    <x v="159"/>
    <x v="0"/>
    <x v="0"/>
  </r>
  <r>
    <x v="161"/>
    <x v="90"/>
    <x v="4"/>
    <x v="4"/>
    <x v="7"/>
    <x v="0"/>
    <x v="160"/>
    <x v="0"/>
    <x v="0"/>
  </r>
  <r>
    <x v="162"/>
    <x v="91"/>
    <x v="2"/>
    <x v="5"/>
    <x v="6"/>
    <x v="42"/>
    <x v="161"/>
    <x v="0"/>
    <x v="0"/>
  </r>
  <r>
    <x v="163"/>
    <x v="92"/>
    <x v="3"/>
    <x v="3"/>
    <x v="11"/>
    <x v="49"/>
    <x v="162"/>
    <x v="0"/>
    <x v="0"/>
  </r>
  <r>
    <x v="164"/>
    <x v="93"/>
    <x v="0"/>
    <x v="0"/>
    <x v="0"/>
    <x v="35"/>
    <x v="163"/>
    <x v="0"/>
    <x v="0"/>
  </r>
  <r>
    <x v="165"/>
    <x v="93"/>
    <x v="0"/>
    <x v="10"/>
    <x v="10"/>
    <x v="8"/>
    <x v="164"/>
    <x v="0"/>
    <x v="0"/>
  </r>
  <r>
    <x v="166"/>
    <x v="93"/>
    <x v="1"/>
    <x v="1"/>
    <x v="3"/>
    <x v="8"/>
    <x v="165"/>
    <x v="0"/>
    <x v="0"/>
  </r>
  <r>
    <x v="167"/>
    <x v="94"/>
    <x v="3"/>
    <x v="3"/>
    <x v="11"/>
    <x v="20"/>
    <x v="166"/>
    <x v="0"/>
    <x v="0"/>
  </r>
  <r>
    <x v="168"/>
    <x v="95"/>
    <x v="2"/>
    <x v="7"/>
    <x v="2"/>
    <x v="17"/>
    <x v="167"/>
    <x v="0"/>
    <x v="0"/>
  </r>
  <r>
    <x v="169"/>
    <x v="95"/>
    <x v="3"/>
    <x v="6"/>
    <x v="11"/>
    <x v="15"/>
    <x v="168"/>
    <x v="0"/>
    <x v="0"/>
  </r>
  <r>
    <x v="170"/>
    <x v="95"/>
    <x v="1"/>
    <x v="1"/>
    <x v="8"/>
    <x v="18"/>
    <x v="169"/>
    <x v="0"/>
    <x v="0"/>
  </r>
  <r>
    <x v="171"/>
    <x v="95"/>
    <x v="1"/>
    <x v="1"/>
    <x v="8"/>
    <x v="20"/>
    <x v="170"/>
    <x v="1"/>
    <x v="0"/>
  </r>
  <r>
    <x v="172"/>
    <x v="96"/>
    <x v="3"/>
    <x v="3"/>
    <x v="11"/>
    <x v="18"/>
    <x v="171"/>
    <x v="0"/>
    <x v="0"/>
  </r>
  <r>
    <x v="173"/>
    <x v="97"/>
    <x v="2"/>
    <x v="5"/>
    <x v="5"/>
    <x v="25"/>
    <x v="172"/>
    <x v="0"/>
    <x v="0"/>
  </r>
  <r>
    <x v="174"/>
    <x v="98"/>
    <x v="2"/>
    <x v="7"/>
    <x v="5"/>
    <x v="0"/>
    <x v="173"/>
    <x v="0"/>
    <x v="0"/>
  </r>
  <r>
    <x v="175"/>
    <x v="98"/>
    <x v="0"/>
    <x v="10"/>
    <x v="4"/>
    <x v="14"/>
    <x v="174"/>
    <x v="0"/>
    <x v="0"/>
  </r>
  <r>
    <x v="176"/>
    <x v="98"/>
    <x v="0"/>
    <x v="0"/>
    <x v="0"/>
    <x v="12"/>
    <x v="175"/>
    <x v="0"/>
    <x v="0"/>
  </r>
  <r>
    <x v="177"/>
    <x v="99"/>
    <x v="3"/>
    <x v="3"/>
    <x v="3"/>
    <x v="0"/>
    <x v="176"/>
    <x v="0"/>
    <x v="0"/>
  </r>
  <r>
    <x v="178"/>
    <x v="100"/>
    <x v="0"/>
    <x v="0"/>
    <x v="10"/>
    <x v="52"/>
    <x v="177"/>
    <x v="0"/>
    <x v="0"/>
  </r>
  <r>
    <x v="179"/>
    <x v="100"/>
    <x v="2"/>
    <x v="5"/>
    <x v="2"/>
    <x v="8"/>
    <x v="178"/>
    <x v="0"/>
    <x v="0"/>
  </r>
  <r>
    <x v="180"/>
    <x v="101"/>
    <x v="0"/>
    <x v="10"/>
    <x v="4"/>
    <x v="53"/>
    <x v="179"/>
    <x v="0"/>
    <x v="0"/>
  </r>
  <r>
    <x v="181"/>
    <x v="102"/>
    <x v="2"/>
    <x v="5"/>
    <x v="5"/>
    <x v="24"/>
    <x v="180"/>
    <x v="0"/>
    <x v="0"/>
  </r>
  <r>
    <x v="182"/>
    <x v="103"/>
    <x v="1"/>
    <x v="9"/>
    <x v="8"/>
    <x v="5"/>
    <x v="181"/>
    <x v="0"/>
    <x v="0"/>
  </r>
  <r>
    <x v="183"/>
    <x v="104"/>
    <x v="3"/>
    <x v="6"/>
    <x v="6"/>
    <x v="20"/>
    <x v="182"/>
    <x v="0"/>
    <x v="0"/>
  </r>
  <r>
    <x v="184"/>
    <x v="104"/>
    <x v="1"/>
    <x v="9"/>
    <x v="1"/>
    <x v="22"/>
    <x v="183"/>
    <x v="0"/>
    <x v="0"/>
  </r>
  <r>
    <x v="185"/>
    <x v="105"/>
    <x v="1"/>
    <x v="1"/>
    <x v="3"/>
    <x v="8"/>
    <x v="184"/>
    <x v="0"/>
    <x v="0"/>
  </r>
  <r>
    <x v="186"/>
    <x v="106"/>
    <x v="2"/>
    <x v="2"/>
    <x v="2"/>
    <x v="14"/>
    <x v="185"/>
    <x v="0"/>
    <x v="0"/>
  </r>
  <r>
    <x v="187"/>
    <x v="107"/>
    <x v="3"/>
    <x v="3"/>
    <x v="6"/>
    <x v="5"/>
    <x v="186"/>
    <x v="0"/>
    <x v="0"/>
  </r>
  <r>
    <x v="188"/>
    <x v="108"/>
    <x v="2"/>
    <x v="5"/>
    <x v="6"/>
    <x v="14"/>
    <x v="187"/>
    <x v="0"/>
    <x v="0"/>
  </r>
  <r>
    <x v="189"/>
    <x v="108"/>
    <x v="4"/>
    <x v="8"/>
    <x v="7"/>
    <x v="46"/>
    <x v="188"/>
    <x v="0"/>
    <x v="0"/>
  </r>
  <r>
    <x v="190"/>
    <x v="109"/>
    <x v="0"/>
    <x v="0"/>
    <x v="10"/>
    <x v="39"/>
    <x v="189"/>
    <x v="0"/>
    <x v="0"/>
  </r>
  <r>
    <x v="191"/>
    <x v="110"/>
    <x v="1"/>
    <x v="9"/>
    <x v="8"/>
    <x v="44"/>
    <x v="190"/>
    <x v="0"/>
    <x v="0"/>
  </r>
  <r>
    <x v="192"/>
    <x v="111"/>
    <x v="3"/>
    <x v="6"/>
    <x v="3"/>
    <x v="5"/>
    <x v="191"/>
    <x v="0"/>
    <x v="0"/>
  </r>
  <r>
    <x v="193"/>
    <x v="111"/>
    <x v="1"/>
    <x v="1"/>
    <x v="3"/>
    <x v="14"/>
    <x v="192"/>
    <x v="1"/>
    <x v="0"/>
  </r>
  <r>
    <x v="194"/>
    <x v="111"/>
    <x v="3"/>
    <x v="3"/>
    <x v="6"/>
    <x v="17"/>
    <x v="193"/>
    <x v="0"/>
    <x v="0"/>
  </r>
  <r>
    <x v="195"/>
    <x v="111"/>
    <x v="4"/>
    <x v="8"/>
    <x v="4"/>
    <x v="54"/>
    <x v="194"/>
    <x v="0"/>
    <x v="0"/>
  </r>
  <r>
    <x v="196"/>
    <x v="112"/>
    <x v="4"/>
    <x v="8"/>
    <x v="4"/>
    <x v="29"/>
    <x v="195"/>
    <x v="0"/>
    <x v="0"/>
  </r>
  <r>
    <x v="197"/>
    <x v="113"/>
    <x v="3"/>
    <x v="6"/>
    <x v="11"/>
    <x v="20"/>
    <x v="196"/>
    <x v="0"/>
    <x v="0"/>
  </r>
  <r>
    <x v="198"/>
    <x v="113"/>
    <x v="2"/>
    <x v="7"/>
    <x v="6"/>
    <x v="23"/>
    <x v="197"/>
    <x v="0"/>
    <x v="0"/>
  </r>
  <r>
    <x v="199"/>
    <x v="114"/>
    <x v="1"/>
    <x v="9"/>
    <x v="8"/>
    <x v="4"/>
    <x v="198"/>
    <x v="0"/>
    <x v="0"/>
  </r>
  <r>
    <x v="200"/>
    <x v="115"/>
    <x v="2"/>
    <x v="5"/>
    <x v="5"/>
    <x v="42"/>
    <x v="199"/>
    <x v="0"/>
    <x v="0"/>
  </r>
  <r>
    <x v="201"/>
    <x v="115"/>
    <x v="2"/>
    <x v="5"/>
    <x v="5"/>
    <x v="13"/>
    <x v="200"/>
    <x v="0"/>
    <x v="0"/>
  </r>
  <r>
    <x v="202"/>
    <x v="116"/>
    <x v="4"/>
    <x v="4"/>
    <x v="4"/>
    <x v="55"/>
    <x v="201"/>
    <x v="1"/>
    <x v="0"/>
  </r>
  <r>
    <x v="203"/>
    <x v="117"/>
    <x v="4"/>
    <x v="8"/>
    <x v="9"/>
    <x v="43"/>
    <x v="202"/>
    <x v="0"/>
    <x v="0"/>
  </r>
  <r>
    <x v="204"/>
    <x v="117"/>
    <x v="2"/>
    <x v="7"/>
    <x v="5"/>
    <x v="56"/>
    <x v="203"/>
    <x v="0"/>
    <x v="0"/>
  </r>
  <r>
    <x v="205"/>
    <x v="117"/>
    <x v="4"/>
    <x v="4"/>
    <x v="7"/>
    <x v="51"/>
    <x v="204"/>
    <x v="0"/>
    <x v="0"/>
  </r>
  <r>
    <x v="206"/>
    <x v="118"/>
    <x v="3"/>
    <x v="3"/>
    <x v="6"/>
    <x v="11"/>
    <x v="205"/>
    <x v="0"/>
    <x v="0"/>
  </r>
  <r>
    <x v="207"/>
    <x v="118"/>
    <x v="2"/>
    <x v="2"/>
    <x v="6"/>
    <x v="3"/>
    <x v="206"/>
    <x v="0"/>
    <x v="0"/>
  </r>
  <r>
    <x v="208"/>
    <x v="118"/>
    <x v="3"/>
    <x v="3"/>
    <x v="6"/>
    <x v="11"/>
    <x v="207"/>
    <x v="0"/>
    <x v="0"/>
  </r>
  <r>
    <x v="209"/>
    <x v="118"/>
    <x v="1"/>
    <x v="1"/>
    <x v="3"/>
    <x v="15"/>
    <x v="208"/>
    <x v="0"/>
    <x v="0"/>
  </r>
  <r>
    <x v="210"/>
    <x v="118"/>
    <x v="3"/>
    <x v="3"/>
    <x v="11"/>
    <x v="51"/>
    <x v="209"/>
    <x v="1"/>
    <x v="0"/>
  </r>
  <r>
    <x v="211"/>
    <x v="119"/>
    <x v="0"/>
    <x v="10"/>
    <x v="4"/>
    <x v="6"/>
    <x v="210"/>
    <x v="0"/>
    <x v="0"/>
  </r>
  <r>
    <x v="212"/>
    <x v="119"/>
    <x v="2"/>
    <x v="2"/>
    <x v="6"/>
    <x v="14"/>
    <x v="211"/>
    <x v="0"/>
    <x v="0"/>
  </r>
  <r>
    <x v="213"/>
    <x v="119"/>
    <x v="3"/>
    <x v="6"/>
    <x v="11"/>
    <x v="49"/>
    <x v="212"/>
    <x v="0"/>
    <x v="0"/>
  </r>
  <r>
    <x v="214"/>
    <x v="119"/>
    <x v="1"/>
    <x v="9"/>
    <x v="8"/>
    <x v="8"/>
    <x v="213"/>
    <x v="0"/>
    <x v="0"/>
  </r>
  <r>
    <x v="215"/>
    <x v="120"/>
    <x v="2"/>
    <x v="7"/>
    <x v="6"/>
    <x v="53"/>
    <x v="214"/>
    <x v="0"/>
    <x v="0"/>
  </r>
  <r>
    <x v="216"/>
    <x v="121"/>
    <x v="2"/>
    <x v="2"/>
    <x v="5"/>
    <x v="20"/>
    <x v="215"/>
    <x v="0"/>
    <x v="0"/>
  </r>
  <r>
    <x v="217"/>
    <x v="122"/>
    <x v="1"/>
    <x v="1"/>
    <x v="3"/>
    <x v="5"/>
    <x v="216"/>
    <x v="0"/>
    <x v="0"/>
  </r>
  <r>
    <x v="218"/>
    <x v="122"/>
    <x v="1"/>
    <x v="9"/>
    <x v="1"/>
    <x v="25"/>
    <x v="217"/>
    <x v="1"/>
    <x v="0"/>
  </r>
  <r>
    <x v="219"/>
    <x v="123"/>
    <x v="1"/>
    <x v="9"/>
    <x v="1"/>
    <x v="22"/>
    <x v="218"/>
    <x v="0"/>
    <x v="0"/>
  </r>
  <r>
    <x v="220"/>
    <x v="123"/>
    <x v="0"/>
    <x v="10"/>
    <x v="10"/>
    <x v="11"/>
    <x v="219"/>
    <x v="0"/>
    <x v="0"/>
  </r>
  <r>
    <x v="221"/>
    <x v="123"/>
    <x v="4"/>
    <x v="8"/>
    <x v="9"/>
    <x v="49"/>
    <x v="220"/>
    <x v="0"/>
    <x v="0"/>
  </r>
  <r>
    <x v="222"/>
    <x v="124"/>
    <x v="0"/>
    <x v="0"/>
    <x v="0"/>
    <x v="14"/>
    <x v="221"/>
    <x v="0"/>
    <x v="0"/>
  </r>
  <r>
    <x v="223"/>
    <x v="125"/>
    <x v="3"/>
    <x v="3"/>
    <x v="11"/>
    <x v="6"/>
    <x v="222"/>
    <x v="0"/>
    <x v="0"/>
  </r>
  <r>
    <x v="224"/>
    <x v="126"/>
    <x v="0"/>
    <x v="0"/>
    <x v="10"/>
    <x v="44"/>
    <x v="223"/>
    <x v="0"/>
    <x v="0"/>
  </r>
  <r>
    <x v="225"/>
    <x v="126"/>
    <x v="4"/>
    <x v="8"/>
    <x v="7"/>
    <x v="57"/>
    <x v="224"/>
    <x v="0"/>
    <x v="0"/>
  </r>
  <r>
    <x v="226"/>
    <x v="126"/>
    <x v="0"/>
    <x v="0"/>
    <x v="10"/>
    <x v="27"/>
    <x v="225"/>
    <x v="1"/>
    <x v="0"/>
  </r>
  <r>
    <x v="227"/>
    <x v="127"/>
    <x v="2"/>
    <x v="2"/>
    <x v="2"/>
    <x v="56"/>
    <x v="226"/>
    <x v="0"/>
    <x v="0"/>
  </r>
  <r>
    <x v="228"/>
    <x v="128"/>
    <x v="3"/>
    <x v="3"/>
    <x v="6"/>
    <x v="15"/>
    <x v="227"/>
    <x v="0"/>
    <x v="0"/>
  </r>
  <r>
    <x v="229"/>
    <x v="129"/>
    <x v="4"/>
    <x v="4"/>
    <x v="9"/>
    <x v="21"/>
    <x v="228"/>
    <x v="0"/>
    <x v="0"/>
  </r>
  <r>
    <x v="230"/>
    <x v="130"/>
    <x v="3"/>
    <x v="3"/>
    <x v="6"/>
    <x v="5"/>
    <x v="229"/>
    <x v="0"/>
    <x v="0"/>
  </r>
  <r>
    <x v="231"/>
    <x v="131"/>
    <x v="1"/>
    <x v="9"/>
    <x v="8"/>
    <x v="32"/>
    <x v="230"/>
    <x v="1"/>
    <x v="0"/>
  </r>
  <r>
    <x v="232"/>
    <x v="132"/>
    <x v="1"/>
    <x v="1"/>
    <x v="1"/>
    <x v="34"/>
    <x v="231"/>
    <x v="0"/>
    <x v="0"/>
  </r>
  <r>
    <x v="233"/>
    <x v="133"/>
    <x v="3"/>
    <x v="3"/>
    <x v="11"/>
    <x v="34"/>
    <x v="232"/>
    <x v="0"/>
    <x v="0"/>
  </r>
  <r>
    <x v="234"/>
    <x v="134"/>
    <x v="0"/>
    <x v="0"/>
    <x v="10"/>
    <x v="6"/>
    <x v="233"/>
    <x v="0"/>
    <x v="0"/>
  </r>
  <r>
    <x v="235"/>
    <x v="134"/>
    <x v="1"/>
    <x v="1"/>
    <x v="8"/>
    <x v="45"/>
    <x v="234"/>
    <x v="0"/>
    <x v="0"/>
  </r>
  <r>
    <x v="236"/>
    <x v="134"/>
    <x v="0"/>
    <x v="10"/>
    <x v="4"/>
    <x v="13"/>
    <x v="235"/>
    <x v="0"/>
    <x v="0"/>
  </r>
  <r>
    <x v="237"/>
    <x v="135"/>
    <x v="3"/>
    <x v="6"/>
    <x v="11"/>
    <x v="39"/>
    <x v="236"/>
    <x v="0"/>
    <x v="0"/>
  </r>
  <r>
    <x v="238"/>
    <x v="136"/>
    <x v="1"/>
    <x v="1"/>
    <x v="3"/>
    <x v="38"/>
    <x v="237"/>
    <x v="0"/>
    <x v="0"/>
  </r>
  <r>
    <x v="239"/>
    <x v="136"/>
    <x v="2"/>
    <x v="5"/>
    <x v="6"/>
    <x v="52"/>
    <x v="238"/>
    <x v="0"/>
    <x v="0"/>
  </r>
  <r>
    <x v="240"/>
    <x v="137"/>
    <x v="3"/>
    <x v="6"/>
    <x v="11"/>
    <x v="42"/>
    <x v="239"/>
    <x v="0"/>
    <x v="0"/>
  </r>
  <r>
    <x v="241"/>
    <x v="137"/>
    <x v="0"/>
    <x v="0"/>
    <x v="4"/>
    <x v="58"/>
    <x v="240"/>
    <x v="1"/>
    <x v="0"/>
  </r>
  <r>
    <x v="242"/>
    <x v="137"/>
    <x v="2"/>
    <x v="5"/>
    <x v="5"/>
    <x v="14"/>
    <x v="241"/>
    <x v="0"/>
    <x v="0"/>
  </r>
  <r>
    <x v="243"/>
    <x v="138"/>
    <x v="0"/>
    <x v="10"/>
    <x v="10"/>
    <x v="35"/>
    <x v="32"/>
    <x v="0"/>
    <x v="0"/>
  </r>
  <r>
    <x v="244"/>
    <x v="139"/>
    <x v="2"/>
    <x v="5"/>
    <x v="5"/>
    <x v="32"/>
    <x v="242"/>
    <x v="0"/>
    <x v="0"/>
  </r>
  <r>
    <x v="245"/>
    <x v="140"/>
    <x v="4"/>
    <x v="8"/>
    <x v="9"/>
    <x v="22"/>
    <x v="243"/>
    <x v="0"/>
    <x v="0"/>
  </r>
  <r>
    <x v="246"/>
    <x v="141"/>
    <x v="3"/>
    <x v="6"/>
    <x v="11"/>
    <x v="5"/>
    <x v="244"/>
    <x v="0"/>
    <x v="0"/>
  </r>
  <r>
    <x v="247"/>
    <x v="142"/>
    <x v="3"/>
    <x v="6"/>
    <x v="3"/>
    <x v="17"/>
    <x v="245"/>
    <x v="0"/>
    <x v="0"/>
  </r>
  <r>
    <x v="248"/>
    <x v="143"/>
    <x v="3"/>
    <x v="6"/>
    <x v="3"/>
    <x v="16"/>
    <x v="246"/>
    <x v="0"/>
    <x v="0"/>
  </r>
  <r>
    <x v="249"/>
    <x v="143"/>
    <x v="3"/>
    <x v="3"/>
    <x v="6"/>
    <x v="4"/>
    <x v="247"/>
    <x v="0"/>
    <x v="0"/>
  </r>
  <r>
    <x v="250"/>
    <x v="144"/>
    <x v="1"/>
    <x v="1"/>
    <x v="8"/>
    <x v="12"/>
    <x v="248"/>
    <x v="0"/>
    <x v="0"/>
  </r>
  <r>
    <x v="251"/>
    <x v="145"/>
    <x v="1"/>
    <x v="9"/>
    <x v="1"/>
    <x v="1"/>
    <x v="249"/>
    <x v="1"/>
    <x v="0"/>
  </r>
  <r>
    <x v="252"/>
    <x v="146"/>
    <x v="2"/>
    <x v="5"/>
    <x v="2"/>
    <x v="52"/>
    <x v="250"/>
    <x v="0"/>
    <x v="0"/>
  </r>
  <r>
    <x v="253"/>
    <x v="147"/>
    <x v="1"/>
    <x v="9"/>
    <x v="8"/>
    <x v="15"/>
    <x v="251"/>
    <x v="0"/>
    <x v="0"/>
  </r>
  <r>
    <x v="254"/>
    <x v="147"/>
    <x v="3"/>
    <x v="3"/>
    <x v="3"/>
    <x v="0"/>
    <x v="252"/>
    <x v="0"/>
    <x v="0"/>
  </r>
  <r>
    <x v="255"/>
    <x v="148"/>
    <x v="1"/>
    <x v="1"/>
    <x v="1"/>
    <x v="35"/>
    <x v="253"/>
    <x v="0"/>
    <x v="0"/>
  </r>
  <r>
    <x v="256"/>
    <x v="149"/>
    <x v="1"/>
    <x v="9"/>
    <x v="8"/>
    <x v="6"/>
    <x v="254"/>
    <x v="0"/>
    <x v="0"/>
  </r>
  <r>
    <x v="257"/>
    <x v="149"/>
    <x v="3"/>
    <x v="3"/>
    <x v="11"/>
    <x v="33"/>
    <x v="255"/>
    <x v="0"/>
    <x v="0"/>
  </r>
  <r>
    <x v="258"/>
    <x v="150"/>
    <x v="0"/>
    <x v="0"/>
    <x v="10"/>
    <x v="17"/>
    <x v="256"/>
    <x v="0"/>
    <x v="0"/>
  </r>
  <r>
    <x v="259"/>
    <x v="151"/>
    <x v="3"/>
    <x v="6"/>
    <x v="11"/>
    <x v="6"/>
    <x v="257"/>
    <x v="0"/>
    <x v="0"/>
  </r>
  <r>
    <x v="260"/>
    <x v="152"/>
    <x v="0"/>
    <x v="10"/>
    <x v="10"/>
    <x v="34"/>
    <x v="258"/>
    <x v="0"/>
    <x v="0"/>
  </r>
  <r>
    <x v="261"/>
    <x v="153"/>
    <x v="2"/>
    <x v="7"/>
    <x v="2"/>
    <x v="36"/>
    <x v="259"/>
    <x v="0"/>
    <x v="0"/>
  </r>
  <r>
    <x v="262"/>
    <x v="153"/>
    <x v="2"/>
    <x v="5"/>
    <x v="5"/>
    <x v="6"/>
    <x v="260"/>
    <x v="0"/>
    <x v="0"/>
  </r>
  <r>
    <x v="263"/>
    <x v="153"/>
    <x v="2"/>
    <x v="2"/>
    <x v="5"/>
    <x v="49"/>
    <x v="261"/>
    <x v="0"/>
    <x v="0"/>
  </r>
  <r>
    <x v="264"/>
    <x v="153"/>
    <x v="4"/>
    <x v="8"/>
    <x v="9"/>
    <x v="50"/>
    <x v="262"/>
    <x v="0"/>
    <x v="0"/>
  </r>
  <r>
    <x v="265"/>
    <x v="154"/>
    <x v="2"/>
    <x v="7"/>
    <x v="5"/>
    <x v="25"/>
    <x v="263"/>
    <x v="0"/>
    <x v="0"/>
  </r>
  <r>
    <x v="266"/>
    <x v="155"/>
    <x v="2"/>
    <x v="2"/>
    <x v="5"/>
    <x v="49"/>
    <x v="264"/>
    <x v="0"/>
    <x v="0"/>
  </r>
  <r>
    <x v="267"/>
    <x v="155"/>
    <x v="3"/>
    <x v="3"/>
    <x v="11"/>
    <x v="26"/>
    <x v="265"/>
    <x v="1"/>
    <x v="0"/>
  </r>
  <r>
    <x v="268"/>
    <x v="156"/>
    <x v="2"/>
    <x v="7"/>
    <x v="6"/>
    <x v="20"/>
    <x v="266"/>
    <x v="0"/>
    <x v="0"/>
  </r>
  <r>
    <x v="269"/>
    <x v="157"/>
    <x v="3"/>
    <x v="6"/>
    <x v="11"/>
    <x v="19"/>
    <x v="267"/>
    <x v="0"/>
    <x v="0"/>
  </r>
  <r>
    <x v="270"/>
    <x v="158"/>
    <x v="2"/>
    <x v="7"/>
    <x v="2"/>
    <x v="11"/>
    <x v="268"/>
    <x v="0"/>
    <x v="0"/>
  </r>
  <r>
    <x v="271"/>
    <x v="159"/>
    <x v="1"/>
    <x v="9"/>
    <x v="8"/>
    <x v="33"/>
    <x v="269"/>
    <x v="0"/>
    <x v="0"/>
  </r>
  <r>
    <x v="272"/>
    <x v="160"/>
    <x v="1"/>
    <x v="1"/>
    <x v="1"/>
    <x v="34"/>
    <x v="270"/>
    <x v="0"/>
    <x v="0"/>
  </r>
  <r>
    <x v="273"/>
    <x v="160"/>
    <x v="2"/>
    <x v="2"/>
    <x v="2"/>
    <x v="13"/>
    <x v="271"/>
    <x v="0"/>
    <x v="0"/>
  </r>
  <r>
    <x v="274"/>
    <x v="160"/>
    <x v="2"/>
    <x v="2"/>
    <x v="6"/>
    <x v="20"/>
    <x v="272"/>
    <x v="0"/>
    <x v="0"/>
  </r>
  <r>
    <x v="275"/>
    <x v="160"/>
    <x v="2"/>
    <x v="7"/>
    <x v="5"/>
    <x v="27"/>
    <x v="273"/>
    <x v="0"/>
    <x v="0"/>
  </r>
  <r>
    <x v="276"/>
    <x v="161"/>
    <x v="2"/>
    <x v="7"/>
    <x v="6"/>
    <x v="45"/>
    <x v="274"/>
    <x v="0"/>
    <x v="0"/>
  </r>
  <r>
    <x v="277"/>
    <x v="162"/>
    <x v="2"/>
    <x v="5"/>
    <x v="2"/>
    <x v="56"/>
    <x v="275"/>
    <x v="0"/>
    <x v="0"/>
  </r>
  <r>
    <x v="278"/>
    <x v="163"/>
    <x v="0"/>
    <x v="10"/>
    <x v="0"/>
    <x v="11"/>
    <x v="276"/>
    <x v="0"/>
    <x v="0"/>
  </r>
  <r>
    <x v="279"/>
    <x v="163"/>
    <x v="2"/>
    <x v="5"/>
    <x v="6"/>
    <x v="59"/>
    <x v="277"/>
    <x v="1"/>
    <x v="0"/>
  </r>
  <r>
    <x v="280"/>
    <x v="164"/>
    <x v="0"/>
    <x v="10"/>
    <x v="10"/>
    <x v="6"/>
    <x v="278"/>
    <x v="0"/>
    <x v="0"/>
  </r>
  <r>
    <x v="281"/>
    <x v="164"/>
    <x v="1"/>
    <x v="1"/>
    <x v="8"/>
    <x v="35"/>
    <x v="279"/>
    <x v="0"/>
    <x v="0"/>
  </r>
  <r>
    <x v="282"/>
    <x v="164"/>
    <x v="2"/>
    <x v="5"/>
    <x v="2"/>
    <x v="34"/>
    <x v="280"/>
    <x v="0"/>
    <x v="0"/>
  </r>
  <r>
    <x v="283"/>
    <x v="165"/>
    <x v="4"/>
    <x v="8"/>
    <x v="7"/>
    <x v="60"/>
    <x v="281"/>
    <x v="0"/>
    <x v="0"/>
  </r>
  <r>
    <x v="284"/>
    <x v="166"/>
    <x v="0"/>
    <x v="10"/>
    <x v="10"/>
    <x v="4"/>
    <x v="282"/>
    <x v="0"/>
    <x v="0"/>
  </r>
  <r>
    <x v="285"/>
    <x v="166"/>
    <x v="2"/>
    <x v="7"/>
    <x v="2"/>
    <x v="40"/>
    <x v="283"/>
    <x v="0"/>
    <x v="0"/>
  </r>
  <r>
    <x v="286"/>
    <x v="166"/>
    <x v="3"/>
    <x v="6"/>
    <x v="6"/>
    <x v="19"/>
    <x v="284"/>
    <x v="0"/>
    <x v="0"/>
  </r>
  <r>
    <x v="287"/>
    <x v="167"/>
    <x v="4"/>
    <x v="8"/>
    <x v="7"/>
    <x v="61"/>
    <x v="285"/>
    <x v="1"/>
    <x v="0"/>
  </r>
  <r>
    <x v="288"/>
    <x v="167"/>
    <x v="0"/>
    <x v="10"/>
    <x v="0"/>
    <x v="33"/>
    <x v="286"/>
    <x v="0"/>
    <x v="0"/>
  </r>
  <r>
    <x v="289"/>
    <x v="167"/>
    <x v="2"/>
    <x v="2"/>
    <x v="2"/>
    <x v="36"/>
    <x v="287"/>
    <x v="0"/>
    <x v="0"/>
  </r>
  <r>
    <x v="290"/>
    <x v="168"/>
    <x v="2"/>
    <x v="2"/>
    <x v="6"/>
    <x v="19"/>
    <x v="288"/>
    <x v="0"/>
    <x v="0"/>
  </r>
  <r>
    <x v="291"/>
    <x v="168"/>
    <x v="1"/>
    <x v="9"/>
    <x v="1"/>
    <x v="0"/>
    <x v="289"/>
    <x v="0"/>
    <x v="0"/>
  </r>
  <r>
    <x v="292"/>
    <x v="169"/>
    <x v="3"/>
    <x v="6"/>
    <x v="3"/>
    <x v="38"/>
    <x v="290"/>
    <x v="0"/>
    <x v="0"/>
  </r>
  <r>
    <x v="293"/>
    <x v="170"/>
    <x v="4"/>
    <x v="8"/>
    <x v="4"/>
    <x v="62"/>
    <x v="291"/>
    <x v="1"/>
    <x v="0"/>
  </r>
  <r>
    <x v="294"/>
    <x v="171"/>
    <x v="3"/>
    <x v="3"/>
    <x v="6"/>
    <x v="38"/>
    <x v="292"/>
    <x v="0"/>
    <x v="0"/>
  </r>
  <r>
    <x v="295"/>
    <x v="172"/>
    <x v="1"/>
    <x v="9"/>
    <x v="8"/>
    <x v="5"/>
    <x v="293"/>
    <x v="0"/>
    <x v="0"/>
  </r>
  <r>
    <x v="296"/>
    <x v="173"/>
    <x v="2"/>
    <x v="2"/>
    <x v="2"/>
    <x v="34"/>
    <x v="294"/>
    <x v="0"/>
    <x v="0"/>
  </r>
  <r>
    <x v="297"/>
    <x v="173"/>
    <x v="2"/>
    <x v="5"/>
    <x v="5"/>
    <x v="4"/>
    <x v="295"/>
    <x v="0"/>
    <x v="0"/>
  </r>
  <r>
    <x v="298"/>
    <x v="174"/>
    <x v="2"/>
    <x v="2"/>
    <x v="2"/>
    <x v="11"/>
    <x v="296"/>
    <x v="0"/>
    <x v="0"/>
  </r>
  <r>
    <x v="299"/>
    <x v="174"/>
    <x v="3"/>
    <x v="3"/>
    <x v="6"/>
    <x v="18"/>
    <x v="297"/>
    <x v="0"/>
    <x v="0"/>
  </r>
  <r>
    <x v="300"/>
    <x v="174"/>
    <x v="1"/>
    <x v="9"/>
    <x v="8"/>
    <x v="12"/>
    <x v="134"/>
    <x v="0"/>
    <x v="0"/>
  </r>
  <r>
    <x v="301"/>
    <x v="175"/>
    <x v="1"/>
    <x v="1"/>
    <x v="3"/>
    <x v="4"/>
    <x v="298"/>
    <x v="0"/>
    <x v="0"/>
  </r>
  <r>
    <x v="302"/>
    <x v="176"/>
    <x v="2"/>
    <x v="2"/>
    <x v="2"/>
    <x v="10"/>
    <x v="299"/>
    <x v="0"/>
    <x v="0"/>
  </r>
  <r>
    <x v="303"/>
    <x v="176"/>
    <x v="3"/>
    <x v="3"/>
    <x v="11"/>
    <x v="49"/>
    <x v="300"/>
    <x v="0"/>
    <x v="0"/>
  </r>
  <r>
    <x v="304"/>
    <x v="177"/>
    <x v="2"/>
    <x v="2"/>
    <x v="2"/>
    <x v="53"/>
    <x v="301"/>
    <x v="0"/>
    <x v="0"/>
  </r>
  <r>
    <x v="305"/>
    <x v="178"/>
    <x v="2"/>
    <x v="7"/>
    <x v="5"/>
    <x v="34"/>
    <x v="302"/>
    <x v="0"/>
    <x v="0"/>
  </r>
  <r>
    <x v="306"/>
    <x v="178"/>
    <x v="2"/>
    <x v="2"/>
    <x v="2"/>
    <x v="15"/>
    <x v="303"/>
    <x v="0"/>
    <x v="0"/>
  </r>
  <r>
    <x v="307"/>
    <x v="178"/>
    <x v="3"/>
    <x v="6"/>
    <x v="11"/>
    <x v="15"/>
    <x v="304"/>
    <x v="0"/>
    <x v="0"/>
  </r>
  <r>
    <x v="308"/>
    <x v="179"/>
    <x v="3"/>
    <x v="6"/>
    <x v="6"/>
    <x v="17"/>
    <x v="305"/>
    <x v="0"/>
    <x v="0"/>
  </r>
  <r>
    <x v="309"/>
    <x v="179"/>
    <x v="2"/>
    <x v="2"/>
    <x v="6"/>
    <x v="14"/>
    <x v="306"/>
    <x v="0"/>
    <x v="0"/>
  </r>
  <r>
    <x v="310"/>
    <x v="180"/>
    <x v="4"/>
    <x v="4"/>
    <x v="9"/>
    <x v="8"/>
    <x v="307"/>
    <x v="0"/>
    <x v="0"/>
  </r>
  <r>
    <x v="311"/>
    <x v="180"/>
    <x v="0"/>
    <x v="10"/>
    <x v="4"/>
    <x v="10"/>
    <x v="308"/>
    <x v="0"/>
    <x v="0"/>
  </r>
  <r>
    <x v="312"/>
    <x v="181"/>
    <x v="3"/>
    <x v="6"/>
    <x v="6"/>
    <x v="45"/>
    <x v="309"/>
    <x v="0"/>
    <x v="0"/>
  </r>
  <r>
    <x v="313"/>
    <x v="181"/>
    <x v="0"/>
    <x v="0"/>
    <x v="4"/>
    <x v="42"/>
    <x v="310"/>
    <x v="0"/>
    <x v="0"/>
  </r>
  <r>
    <x v="314"/>
    <x v="182"/>
    <x v="1"/>
    <x v="9"/>
    <x v="8"/>
    <x v="0"/>
    <x v="311"/>
    <x v="0"/>
    <x v="0"/>
  </r>
  <r>
    <x v="315"/>
    <x v="182"/>
    <x v="3"/>
    <x v="3"/>
    <x v="3"/>
    <x v="10"/>
    <x v="312"/>
    <x v="0"/>
    <x v="0"/>
  </r>
  <r>
    <x v="316"/>
    <x v="183"/>
    <x v="3"/>
    <x v="3"/>
    <x v="3"/>
    <x v="35"/>
    <x v="313"/>
    <x v="0"/>
    <x v="0"/>
  </r>
  <r>
    <x v="317"/>
    <x v="184"/>
    <x v="2"/>
    <x v="5"/>
    <x v="2"/>
    <x v="6"/>
    <x v="314"/>
    <x v="0"/>
    <x v="0"/>
  </r>
  <r>
    <x v="318"/>
    <x v="184"/>
    <x v="1"/>
    <x v="1"/>
    <x v="3"/>
    <x v="34"/>
    <x v="315"/>
    <x v="0"/>
    <x v="0"/>
  </r>
  <r>
    <x v="319"/>
    <x v="184"/>
    <x v="1"/>
    <x v="1"/>
    <x v="8"/>
    <x v="16"/>
    <x v="316"/>
    <x v="0"/>
    <x v="0"/>
  </r>
  <r>
    <x v="320"/>
    <x v="185"/>
    <x v="2"/>
    <x v="5"/>
    <x v="2"/>
    <x v="1"/>
    <x v="317"/>
    <x v="0"/>
    <x v="0"/>
  </r>
  <r>
    <x v="321"/>
    <x v="186"/>
    <x v="4"/>
    <x v="4"/>
    <x v="9"/>
    <x v="26"/>
    <x v="318"/>
    <x v="0"/>
    <x v="0"/>
  </r>
  <r>
    <x v="322"/>
    <x v="187"/>
    <x v="4"/>
    <x v="4"/>
    <x v="9"/>
    <x v="63"/>
    <x v="319"/>
    <x v="1"/>
    <x v="0"/>
  </r>
  <r>
    <x v="323"/>
    <x v="188"/>
    <x v="1"/>
    <x v="9"/>
    <x v="1"/>
    <x v="28"/>
    <x v="320"/>
    <x v="0"/>
    <x v="0"/>
  </r>
  <r>
    <x v="324"/>
    <x v="189"/>
    <x v="3"/>
    <x v="6"/>
    <x v="3"/>
    <x v="18"/>
    <x v="321"/>
    <x v="0"/>
    <x v="0"/>
  </r>
  <r>
    <x v="325"/>
    <x v="189"/>
    <x v="4"/>
    <x v="8"/>
    <x v="7"/>
    <x v="11"/>
    <x v="322"/>
    <x v="0"/>
    <x v="0"/>
  </r>
  <r>
    <x v="326"/>
    <x v="189"/>
    <x v="2"/>
    <x v="2"/>
    <x v="2"/>
    <x v="56"/>
    <x v="323"/>
    <x v="0"/>
    <x v="0"/>
  </r>
  <r>
    <x v="327"/>
    <x v="190"/>
    <x v="0"/>
    <x v="0"/>
    <x v="4"/>
    <x v="22"/>
    <x v="324"/>
    <x v="0"/>
    <x v="0"/>
  </r>
  <r>
    <x v="328"/>
    <x v="190"/>
    <x v="2"/>
    <x v="2"/>
    <x v="6"/>
    <x v="43"/>
    <x v="325"/>
    <x v="1"/>
    <x v="0"/>
  </r>
  <r>
    <x v="329"/>
    <x v="191"/>
    <x v="2"/>
    <x v="2"/>
    <x v="5"/>
    <x v="57"/>
    <x v="326"/>
    <x v="1"/>
    <x v="0"/>
  </r>
  <r>
    <x v="330"/>
    <x v="192"/>
    <x v="2"/>
    <x v="7"/>
    <x v="2"/>
    <x v="53"/>
    <x v="327"/>
    <x v="0"/>
    <x v="0"/>
  </r>
  <r>
    <x v="331"/>
    <x v="193"/>
    <x v="2"/>
    <x v="5"/>
    <x v="5"/>
    <x v="37"/>
    <x v="328"/>
    <x v="1"/>
    <x v="0"/>
  </r>
  <r>
    <x v="332"/>
    <x v="194"/>
    <x v="3"/>
    <x v="3"/>
    <x v="6"/>
    <x v="4"/>
    <x v="329"/>
    <x v="0"/>
    <x v="0"/>
  </r>
  <r>
    <x v="333"/>
    <x v="194"/>
    <x v="0"/>
    <x v="0"/>
    <x v="10"/>
    <x v="18"/>
    <x v="330"/>
    <x v="0"/>
    <x v="0"/>
  </r>
  <r>
    <x v="334"/>
    <x v="195"/>
    <x v="2"/>
    <x v="2"/>
    <x v="5"/>
    <x v="32"/>
    <x v="331"/>
    <x v="0"/>
    <x v="0"/>
  </r>
  <r>
    <x v="335"/>
    <x v="195"/>
    <x v="4"/>
    <x v="4"/>
    <x v="9"/>
    <x v="0"/>
    <x v="332"/>
    <x v="0"/>
    <x v="0"/>
  </r>
  <r>
    <x v="336"/>
    <x v="195"/>
    <x v="3"/>
    <x v="3"/>
    <x v="3"/>
    <x v="10"/>
    <x v="333"/>
    <x v="0"/>
    <x v="0"/>
  </r>
  <r>
    <x v="337"/>
    <x v="195"/>
    <x v="3"/>
    <x v="3"/>
    <x v="6"/>
    <x v="20"/>
    <x v="334"/>
    <x v="0"/>
    <x v="0"/>
  </r>
  <r>
    <x v="338"/>
    <x v="196"/>
    <x v="0"/>
    <x v="0"/>
    <x v="10"/>
    <x v="25"/>
    <x v="335"/>
    <x v="0"/>
    <x v="0"/>
  </r>
  <r>
    <x v="339"/>
    <x v="197"/>
    <x v="3"/>
    <x v="3"/>
    <x v="6"/>
    <x v="21"/>
    <x v="336"/>
    <x v="0"/>
    <x v="0"/>
  </r>
  <r>
    <x v="340"/>
    <x v="198"/>
    <x v="2"/>
    <x v="2"/>
    <x v="5"/>
    <x v="42"/>
    <x v="337"/>
    <x v="0"/>
    <x v="0"/>
  </r>
  <r>
    <x v="341"/>
    <x v="198"/>
    <x v="3"/>
    <x v="3"/>
    <x v="6"/>
    <x v="36"/>
    <x v="338"/>
    <x v="1"/>
    <x v="0"/>
  </r>
  <r>
    <x v="342"/>
    <x v="198"/>
    <x v="4"/>
    <x v="8"/>
    <x v="7"/>
    <x v="19"/>
    <x v="339"/>
    <x v="0"/>
    <x v="0"/>
  </r>
  <r>
    <x v="343"/>
    <x v="199"/>
    <x v="3"/>
    <x v="3"/>
    <x v="11"/>
    <x v="11"/>
    <x v="340"/>
    <x v="0"/>
    <x v="0"/>
  </r>
  <r>
    <x v="344"/>
    <x v="199"/>
    <x v="0"/>
    <x v="10"/>
    <x v="4"/>
    <x v="4"/>
    <x v="341"/>
    <x v="0"/>
    <x v="0"/>
  </r>
  <r>
    <x v="345"/>
    <x v="199"/>
    <x v="4"/>
    <x v="8"/>
    <x v="9"/>
    <x v="64"/>
    <x v="342"/>
    <x v="1"/>
    <x v="0"/>
  </r>
  <r>
    <x v="346"/>
    <x v="200"/>
    <x v="2"/>
    <x v="7"/>
    <x v="6"/>
    <x v="65"/>
    <x v="343"/>
    <x v="1"/>
    <x v="0"/>
  </r>
  <r>
    <x v="347"/>
    <x v="200"/>
    <x v="3"/>
    <x v="6"/>
    <x v="6"/>
    <x v="42"/>
    <x v="344"/>
    <x v="0"/>
    <x v="0"/>
  </r>
  <r>
    <x v="348"/>
    <x v="201"/>
    <x v="1"/>
    <x v="1"/>
    <x v="3"/>
    <x v="35"/>
    <x v="345"/>
    <x v="0"/>
    <x v="0"/>
  </r>
  <r>
    <x v="349"/>
    <x v="202"/>
    <x v="4"/>
    <x v="4"/>
    <x v="7"/>
    <x v="15"/>
    <x v="346"/>
    <x v="0"/>
    <x v="0"/>
  </r>
  <r>
    <x v="350"/>
    <x v="203"/>
    <x v="4"/>
    <x v="8"/>
    <x v="7"/>
    <x v="60"/>
    <x v="347"/>
    <x v="0"/>
    <x v="0"/>
  </r>
  <r>
    <x v="351"/>
    <x v="203"/>
    <x v="0"/>
    <x v="10"/>
    <x v="10"/>
    <x v="8"/>
    <x v="18"/>
    <x v="0"/>
    <x v="0"/>
  </r>
  <r>
    <x v="352"/>
    <x v="203"/>
    <x v="3"/>
    <x v="6"/>
    <x v="3"/>
    <x v="10"/>
    <x v="348"/>
    <x v="0"/>
    <x v="0"/>
  </r>
  <r>
    <x v="353"/>
    <x v="203"/>
    <x v="1"/>
    <x v="1"/>
    <x v="8"/>
    <x v="44"/>
    <x v="349"/>
    <x v="0"/>
    <x v="0"/>
  </r>
  <r>
    <x v="354"/>
    <x v="204"/>
    <x v="4"/>
    <x v="4"/>
    <x v="7"/>
    <x v="20"/>
    <x v="350"/>
    <x v="0"/>
    <x v="0"/>
  </r>
  <r>
    <x v="355"/>
    <x v="204"/>
    <x v="0"/>
    <x v="0"/>
    <x v="10"/>
    <x v="20"/>
    <x v="351"/>
    <x v="0"/>
    <x v="0"/>
  </r>
  <r>
    <x v="356"/>
    <x v="204"/>
    <x v="1"/>
    <x v="1"/>
    <x v="1"/>
    <x v="11"/>
    <x v="352"/>
    <x v="0"/>
    <x v="0"/>
  </r>
  <r>
    <x v="357"/>
    <x v="205"/>
    <x v="1"/>
    <x v="9"/>
    <x v="8"/>
    <x v="11"/>
    <x v="353"/>
    <x v="0"/>
    <x v="0"/>
  </r>
  <r>
    <x v="358"/>
    <x v="206"/>
    <x v="2"/>
    <x v="7"/>
    <x v="5"/>
    <x v="49"/>
    <x v="354"/>
    <x v="0"/>
    <x v="0"/>
  </r>
  <r>
    <x v="359"/>
    <x v="206"/>
    <x v="1"/>
    <x v="1"/>
    <x v="8"/>
    <x v="12"/>
    <x v="355"/>
    <x v="0"/>
    <x v="0"/>
  </r>
  <r>
    <x v="360"/>
    <x v="206"/>
    <x v="4"/>
    <x v="8"/>
    <x v="9"/>
    <x v="66"/>
    <x v="356"/>
    <x v="1"/>
    <x v="0"/>
  </r>
  <r>
    <x v="361"/>
    <x v="207"/>
    <x v="2"/>
    <x v="5"/>
    <x v="2"/>
    <x v="29"/>
    <x v="357"/>
    <x v="1"/>
    <x v="0"/>
  </r>
  <r>
    <x v="362"/>
    <x v="207"/>
    <x v="2"/>
    <x v="7"/>
    <x v="5"/>
    <x v="4"/>
    <x v="358"/>
    <x v="0"/>
    <x v="0"/>
  </r>
  <r>
    <x v="363"/>
    <x v="208"/>
    <x v="4"/>
    <x v="4"/>
    <x v="7"/>
    <x v="7"/>
    <x v="359"/>
    <x v="0"/>
    <x v="0"/>
  </r>
  <r>
    <x v="364"/>
    <x v="208"/>
    <x v="2"/>
    <x v="2"/>
    <x v="5"/>
    <x v="51"/>
    <x v="360"/>
    <x v="0"/>
    <x v="0"/>
  </r>
  <r>
    <x v="365"/>
    <x v="209"/>
    <x v="2"/>
    <x v="5"/>
    <x v="2"/>
    <x v="37"/>
    <x v="361"/>
    <x v="1"/>
    <x v="0"/>
  </r>
  <r>
    <x v="366"/>
    <x v="210"/>
    <x v="2"/>
    <x v="5"/>
    <x v="6"/>
    <x v="9"/>
    <x v="362"/>
    <x v="1"/>
    <x v="0"/>
  </r>
  <r>
    <x v="367"/>
    <x v="210"/>
    <x v="3"/>
    <x v="3"/>
    <x v="6"/>
    <x v="0"/>
    <x v="363"/>
    <x v="0"/>
    <x v="0"/>
  </r>
  <r>
    <x v="368"/>
    <x v="211"/>
    <x v="1"/>
    <x v="1"/>
    <x v="8"/>
    <x v="20"/>
    <x v="364"/>
    <x v="1"/>
    <x v="0"/>
  </r>
  <r>
    <x v="369"/>
    <x v="212"/>
    <x v="2"/>
    <x v="5"/>
    <x v="6"/>
    <x v="33"/>
    <x v="365"/>
    <x v="0"/>
    <x v="0"/>
  </r>
  <r>
    <x v="370"/>
    <x v="213"/>
    <x v="3"/>
    <x v="3"/>
    <x v="6"/>
    <x v="18"/>
    <x v="366"/>
    <x v="0"/>
    <x v="0"/>
  </r>
  <r>
    <x v="371"/>
    <x v="214"/>
    <x v="4"/>
    <x v="8"/>
    <x v="4"/>
    <x v="49"/>
    <x v="367"/>
    <x v="0"/>
    <x v="0"/>
  </r>
  <r>
    <x v="372"/>
    <x v="215"/>
    <x v="2"/>
    <x v="7"/>
    <x v="6"/>
    <x v="20"/>
    <x v="368"/>
    <x v="0"/>
    <x v="0"/>
  </r>
  <r>
    <x v="373"/>
    <x v="215"/>
    <x v="1"/>
    <x v="1"/>
    <x v="3"/>
    <x v="22"/>
    <x v="369"/>
    <x v="0"/>
    <x v="0"/>
  </r>
  <r>
    <x v="374"/>
    <x v="216"/>
    <x v="4"/>
    <x v="4"/>
    <x v="7"/>
    <x v="19"/>
    <x v="370"/>
    <x v="0"/>
    <x v="0"/>
  </r>
  <r>
    <x v="375"/>
    <x v="216"/>
    <x v="0"/>
    <x v="10"/>
    <x v="4"/>
    <x v="65"/>
    <x v="371"/>
    <x v="1"/>
    <x v="0"/>
  </r>
  <r>
    <x v="376"/>
    <x v="217"/>
    <x v="0"/>
    <x v="0"/>
    <x v="10"/>
    <x v="67"/>
    <x v="372"/>
    <x v="1"/>
    <x v="0"/>
  </r>
  <r>
    <x v="377"/>
    <x v="217"/>
    <x v="1"/>
    <x v="9"/>
    <x v="8"/>
    <x v="13"/>
    <x v="373"/>
    <x v="1"/>
    <x v="0"/>
  </r>
  <r>
    <x v="378"/>
    <x v="218"/>
    <x v="3"/>
    <x v="6"/>
    <x v="6"/>
    <x v="0"/>
    <x v="374"/>
    <x v="0"/>
    <x v="0"/>
  </r>
  <r>
    <x v="379"/>
    <x v="219"/>
    <x v="1"/>
    <x v="9"/>
    <x v="8"/>
    <x v="21"/>
    <x v="375"/>
    <x v="0"/>
    <x v="0"/>
  </r>
  <r>
    <x v="380"/>
    <x v="220"/>
    <x v="4"/>
    <x v="8"/>
    <x v="9"/>
    <x v="13"/>
    <x v="376"/>
    <x v="0"/>
    <x v="0"/>
  </r>
  <r>
    <x v="381"/>
    <x v="221"/>
    <x v="2"/>
    <x v="5"/>
    <x v="6"/>
    <x v="51"/>
    <x v="377"/>
    <x v="0"/>
    <x v="0"/>
  </r>
  <r>
    <x v="382"/>
    <x v="221"/>
    <x v="2"/>
    <x v="7"/>
    <x v="2"/>
    <x v="55"/>
    <x v="378"/>
    <x v="1"/>
    <x v="0"/>
  </r>
  <r>
    <x v="383"/>
    <x v="221"/>
    <x v="2"/>
    <x v="7"/>
    <x v="5"/>
    <x v="53"/>
    <x v="379"/>
    <x v="0"/>
    <x v="0"/>
  </r>
  <r>
    <x v="384"/>
    <x v="221"/>
    <x v="0"/>
    <x v="0"/>
    <x v="0"/>
    <x v="22"/>
    <x v="380"/>
    <x v="0"/>
    <x v="0"/>
  </r>
  <r>
    <x v="385"/>
    <x v="222"/>
    <x v="1"/>
    <x v="1"/>
    <x v="3"/>
    <x v="11"/>
    <x v="381"/>
    <x v="0"/>
    <x v="0"/>
  </r>
  <r>
    <x v="386"/>
    <x v="222"/>
    <x v="3"/>
    <x v="6"/>
    <x v="6"/>
    <x v="18"/>
    <x v="247"/>
    <x v="0"/>
    <x v="0"/>
  </r>
  <r>
    <x v="387"/>
    <x v="222"/>
    <x v="1"/>
    <x v="1"/>
    <x v="8"/>
    <x v="32"/>
    <x v="382"/>
    <x v="1"/>
    <x v="0"/>
  </r>
  <r>
    <x v="388"/>
    <x v="222"/>
    <x v="2"/>
    <x v="2"/>
    <x v="2"/>
    <x v="4"/>
    <x v="383"/>
    <x v="0"/>
    <x v="0"/>
  </r>
  <r>
    <x v="389"/>
    <x v="223"/>
    <x v="2"/>
    <x v="7"/>
    <x v="2"/>
    <x v="4"/>
    <x v="384"/>
    <x v="0"/>
    <x v="0"/>
  </r>
  <r>
    <x v="390"/>
    <x v="223"/>
    <x v="4"/>
    <x v="4"/>
    <x v="9"/>
    <x v="48"/>
    <x v="385"/>
    <x v="0"/>
    <x v="0"/>
  </r>
  <r>
    <x v="391"/>
    <x v="224"/>
    <x v="4"/>
    <x v="4"/>
    <x v="9"/>
    <x v="34"/>
    <x v="386"/>
    <x v="0"/>
    <x v="0"/>
  </r>
  <r>
    <x v="392"/>
    <x v="224"/>
    <x v="1"/>
    <x v="9"/>
    <x v="8"/>
    <x v="53"/>
    <x v="387"/>
    <x v="0"/>
    <x v="0"/>
  </r>
  <r>
    <x v="393"/>
    <x v="224"/>
    <x v="4"/>
    <x v="4"/>
    <x v="9"/>
    <x v="13"/>
    <x v="388"/>
    <x v="0"/>
    <x v="0"/>
  </r>
  <r>
    <x v="394"/>
    <x v="225"/>
    <x v="1"/>
    <x v="1"/>
    <x v="3"/>
    <x v="22"/>
    <x v="389"/>
    <x v="0"/>
    <x v="0"/>
  </r>
  <r>
    <x v="395"/>
    <x v="225"/>
    <x v="2"/>
    <x v="2"/>
    <x v="2"/>
    <x v="9"/>
    <x v="390"/>
    <x v="1"/>
    <x v="0"/>
  </r>
  <r>
    <x v="396"/>
    <x v="226"/>
    <x v="4"/>
    <x v="4"/>
    <x v="4"/>
    <x v="13"/>
    <x v="391"/>
    <x v="0"/>
    <x v="0"/>
  </r>
  <r>
    <x v="397"/>
    <x v="227"/>
    <x v="3"/>
    <x v="3"/>
    <x v="3"/>
    <x v="48"/>
    <x v="392"/>
    <x v="1"/>
    <x v="0"/>
  </r>
  <r>
    <x v="398"/>
    <x v="228"/>
    <x v="3"/>
    <x v="6"/>
    <x v="3"/>
    <x v="11"/>
    <x v="207"/>
    <x v="0"/>
    <x v="0"/>
  </r>
</pivotCacheRecords>
</file>

<file path=xl/pivotCache/pivotCacheRecords3.xml><?xml version="1.0" encoding="utf-8"?>
<pivotCacheRecords xmlns:r="http://schemas.openxmlformats.org/officeDocument/2006/relationships" xmlns="http://schemas.openxmlformats.org/spreadsheetml/2006/main" count="404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  <x v="0"/>
  </r>
  <r>
    <x v="2"/>
    <x v="1"/>
    <x v="2"/>
    <x v="2"/>
    <x v="2"/>
    <x v="2"/>
    <x v="2"/>
    <x v="0"/>
    <x v="1"/>
    <x v="1"/>
    <x v="0"/>
  </r>
  <r>
    <x v="3"/>
    <x v="1"/>
    <x v="3"/>
    <x v="3"/>
    <x v="3"/>
    <x v="3"/>
    <x v="3"/>
    <x v="1"/>
    <x v="1"/>
    <x v="1"/>
    <x v="0"/>
  </r>
  <r>
    <x v="4"/>
    <x v="2"/>
    <x v="4"/>
    <x v="4"/>
    <x v="4"/>
    <x v="4"/>
    <x v="4"/>
    <x v="0"/>
    <x v="0"/>
    <x v="0"/>
    <x v="0"/>
  </r>
  <r>
    <x v="5"/>
    <x v="3"/>
    <x v="2"/>
    <x v="5"/>
    <x v="5"/>
    <x v="5"/>
    <x v="5"/>
    <x v="0"/>
    <x v="2"/>
    <x v="2"/>
    <x v="0"/>
  </r>
  <r>
    <x v="6"/>
    <x v="4"/>
    <x v="2"/>
    <x v="5"/>
    <x v="2"/>
    <x v="4"/>
    <x v="6"/>
    <x v="0"/>
    <x v="0"/>
    <x v="0"/>
    <x v="0"/>
  </r>
  <r>
    <x v="7"/>
    <x v="5"/>
    <x v="3"/>
    <x v="6"/>
    <x v="6"/>
    <x v="6"/>
    <x v="7"/>
    <x v="0"/>
    <x v="0"/>
    <x v="0"/>
    <x v="0"/>
  </r>
  <r>
    <x v="8"/>
    <x v="5"/>
    <x v="2"/>
    <x v="7"/>
    <x v="2"/>
    <x v="0"/>
    <x v="8"/>
    <x v="0"/>
    <x v="0"/>
    <x v="0"/>
    <x v="0"/>
  </r>
  <r>
    <x v="9"/>
    <x v="6"/>
    <x v="4"/>
    <x v="8"/>
    <x v="7"/>
    <x v="7"/>
    <x v="9"/>
    <x v="0"/>
    <x v="1"/>
    <x v="1"/>
    <x v="0"/>
  </r>
  <r>
    <x v="10"/>
    <x v="6"/>
    <x v="4"/>
    <x v="8"/>
    <x v="7"/>
    <x v="2"/>
    <x v="10"/>
    <x v="0"/>
    <x v="1"/>
    <x v="1"/>
    <x v="0"/>
  </r>
  <r>
    <x v="11"/>
    <x v="7"/>
    <x v="1"/>
    <x v="9"/>
    <x v="8"/>
    <x v="8"/>
    <x v="11"/>
    <x v="0"/>
    <x v="0"/>
    <x v="0"/>
    <x v="0"/>
  </r>
  <r>
    <x v="12"/>
    <x v="8"/>
    <x v="2"/>
    <x v="7"/>
    <x v="2"/>
    <x v="9"/>
    <x v="12"/>
    <x v="1"/>
    <x v="1"/>
    <x v="1"/>
    <x v="0"/>
  </r>
  <r>
    <x v="13"/>
    <x v="8"/>
    <x v="1"/>
    <x v="9"/>
    <x v="1"/>
    <x v="10"/>
    <x v="13"/>
    <x v="0"/>
    <x v="0"/>
    <x v="0"/>
    <x v="0"/>
  </r>
  <r>
    <x v="14"/>
    <x v="9"/>
    <x v="1"/>
    <x v="9"/>
    <x v="8"/>
    <x v="11"/>
    <x v="14"/>
    <x v="0"/>
    <x v="0"/>
    <x v="0"/>
    <x v="0"/>
  </r>
  <r>
    <x v="15"/>
    <x v="9"/>
    <x v="1"/>
    <x v="1"/>
    <x v="8"/>
    <x v="12"/>
    <x v="15"/>
    <x v="0"/>
    <x v="0"/>
    <x v="0"/>
    <x v="0"/>
  </r>
  <r>
    <x v="16"/>
    <x v="10"/>
    <x v="2"/>
    <x v="7"/>
    <x v="6"/>
    <x v="13"/>
    <x v="16"/>
    <x v="0"/>
    <x v="0"/>
    <x v="0"/>
    <x v="0"/>
  </r>
  <r>
    <x v="17"/>
    <x v="10"/>
    <x v="4"/>
    <x v="8"/>
    <x v="9"/>
    <x v="14"/>
    <x v="17"/>
    <x v="0"/>
    <x v="0"/>
    <x v="0"/>
    <x v="0"/>
  </r>
  <r>
    <x v="18"/>
    <x v="10"/>
    <x v="3"/>
    <x v="6"/>
    <x v="6"/>
    <x v="15"/>
    <x v="18"/>
    <x v="0"/>
    <x v="0"/>
    <x v="0"/>
    <x v="0"/>
  </r>
  <r>
    <x v="19"/>
    <x v="11"/>
    <x v="2"/>
    <x v="5"/>
    <x v="5"/>
    <x v="6"/>
    <x v="19"/>
    <x v="0"/>
    <x v="0"/>
    <x v="0"/>
    <x v="0"/>
  </r>
  <r>
    <x v="20"/>
    <x v="12"/>
    <x v="0"/>
    <x v="10"/>
    <x v="4"/>
    <x v="13"/>
    <x v="20"/>
    <x v="0"/>
    <x v="0"/>
    <x v="0"/>
    <x v="0"/>
  </r>
  <r>
    <x v="21"/>
    <x v="12"/>
    <x v="0"/>
    <x v="10"/>
    <x v="10"/>
    <x v="2"/>
    <x v="21"/>
    <x v="0"/>
    <x v="1"/>
    <x v="1"/>
    <x v="0"/>
  </r>
  <r>
    <x v="22"/>
    <x v="13"/>
    <x v="1"/>
    <x v="1"/>
    <x v="3"/>
    <x v="16"/>
    <x v="22"/>
    <x v="0"/>
    <x v="2"/>
    <x v="2"/>
    <x v="0"/>
  </r>
  <r>
    <x v="23"/>
    <x v="13"/>
    <x v="2"/>
    <x v="7"/>
    <x v="2"/>
    <x v="3"/>
    <x v="23"/>
    <x v="0"/>
    <x v="1"/>
    <x v="1"/>
    <x v="0"/>
  </r>
  <r>
    <x v="24"/>
    <x v="13"/>
    <x v="1"/>
    <x v="1"/>
    <x v="1"/>
    <x v="17"/>
    <x v="24"/>
    <x v="0"/>
    <x v="0"/>
    <x v="0"/>
    <x v="0"/>
  </r>
  <r>
    <x v="25"/>
    <x v="13"/>
    <x v="3"/>
    <x v="6"/>
    <x v="11"/>
    <x v="18"/>
    <x v="25"/>
    <x v="0"/>
    <x v="0"/>
    <x v="0"/>
    <x v="0"/>
  </r>
  <r>
    <x v="26"/>
    <x v="14"/>
    <x v="0"/>
    <x v="10"/>
    <x v="4"/>
    <x v="18"/>
    <x v="26"/>
    <x v="0"/>
    <x v="0"/>
    <x v="0"/>
    <x v="0"/>
  </r>
  <r>
    <x v="27"/>
    <x v="14"/>
    <x v="3"/>
    <x v="6"/>
    <x v="6"/>
    <x v="19"/>
    <x v="27"/>
    <x v="0"/>
    <x v="0"/>
    <x v="0"/>
    <x v="0"/>
  </r>
  <r>
    <x v="28"/>
    <x v="15"/>
    <x v="2"/>
    <x v="5"/>
    <x v="5"/>
    <x v="20"/>
    <x v="28"/>
    <x v="0"/>
    <x v="0"/>
    <x v="0"/>
    <x v="0"/>
  </r>
  <r>
    <x v="29"/>
    <x v="15"/>
    <x v="2"/>
    <x v="7"/>
    <x v="5"/>
    <x v="21"/>
    <x v="29"/>
    <x v="0"/>
    <x v="2"/>
    <x v="2"/>
    <x v="0"/>
  </r>
  <r>
    <x v="30"/>
    <x v="15"/>
    <x v="1"/>
    <x v="9"/>
    <x v="1"/>
    <x v="10"/>
    <x v="30"/>
    <x v="0"/>
    <x v="0"/>
    <x v="0"/>
    <x v="0"/>
  </r>
  <r>
    <x v="31"/>
    <x v="16"/>
    <x v="1"/>
    <x v="9"/>
    <x v="1"/>
    <x v="0"/>
    <x v="31"/>
    <x v="0"/>
    <x v="0"/>
    <x v="0"/>
    <x v="0"/>
  </r>
  <r>
    <x v="32"/>
    <x v="16"/>
    <x v="3"/>
    <x v="6"/>
    <x v="6"/>
    <x v="5"/>
    <x v="32"/>
    <x v="0"/>
    <x v="2"/>
    <x v="2"/>
    <x v="0"/>
  </r>
  <r>
    <x v="33"/>
    <x v="17"/>
    <x v="1"/>
    <x v="1"/>
    <x v="1"/>
    <x v="22"/>
    <x v="33"/>
    <x v="0"/>
    <x v="2"/>
    <x v="2"/>
    <x v="0"/>
  </r>
  <r>
    <x v="34"/>
    <x v="18"/>
    <x v="2"/>
    <x v="2"/>
    <x v="6"/>
    <x v="18"/>
    <x v="34"/>
    <x v="0"/>
    <x v="0"/>
    <x v="0"/>
    <x v="0"/>
  </r>
  <r>
    <x v="35"/>
    <x v="19"/>
    <x v="0"/>
    <x v="10"/>
    <x v="4"/>
    <x v="19"/>
    <x v="35"/>
    <x v="0"/>
    <x v="0"/>
    <x v="0"/>
    <x v="0"/>
  </r>
  <r>
    <x v="36"/>
    <x v="20"/>
    <x v="4"/>
    <x v="4"/>
    <x v="7"/>
    <x v="1"/>
    <x v="36"/>
    <x v="0"/>
    <x v="0"/>
    <x v="0"/>
    <x v="0"/>
  </r>
  <r>
    <x v="37"/>
    <x v="20"/>
    <x v="1"/>
    <x v="1"/>
    <x v="8"/>
    <x v="23"/>
    <x v="37"/>
    <x v="0"/>
    <x v="2"/>
    <x v="2"/>
    <x v="0"/>
  </r>
  <r>
    <x v="38"/>
    <x v="20"/>
    <x v="3"/>
    <x v="3"/>
    <x v="3"/>
    <x v="14"/>
    <x v="38"/>
    <x v="0"/>
    <x v="0"/>
    <x v="0"/>
    <x v="0"/>
  </r>
  <r>
    <x v="39"/>
    <x v="20"/>
    <x v="4"/>
    <x v="8"/>
    <x v="4"/>
    <x v="24"/>
    <x v="39"/>
    <x v="0"/>
    <x v="1"/>
    <x v="1"/>
    <x v="0"/>
  </r>
  <r>
    <x v="40"/>
    <x v="20"/>
    <x v="2"/>
    <x v="2"/>
    <x v="6"/>
    <x v="15"/>
    <x v="40"/>
    <x v="0"/>
    <x v="0"/>
    <x v="0"/>
    <x v="0"/>
  </r>
  <r>
    <x v="41"/>
    <x v="21"/>
    <x v="1"/>
    <x v="1"/>
    <x v="8"/>
    <x v="23"/>
    <x v="41"/>
    <x v="0"/>
    <x v="2"/>
    <x v="2"/>
    <x v="0"/>
  </r>
  <r>
    <x v="42"/>
    <x v="22"/>
    <x v="0"/>
    <x v="10"/>
    <x v="10"/>
    <x v="25"/>
    <x v="42"/>
    <x v="0"/>
    <x v="0"/>
    <x v="0"/>
    <x v="0"/>
  </r>
  <r>
    <x v="43"/>
    <x v="22"/>
    <x v="2"/>
    <x v="2"/>
    <x v="6"/>
    <x v="15"/>
    <x v="43"/>
    <x v="0"/>
    <x v="0"/>
    <x v="0"/>
    <x v="0"/>
  </r>
  <r>
    <x v="44"/>
    <x v="22"/>
    <x v="2"/>
    <x v="7"/>
    <x v="5"/>
    <x v="11"/>
    <x v="44"/>
    <x v="0"/>
    <x v="0"/>
    <x v="0"/>
    <x v="0"/>
  </r>
  <r>
    <x v="45"/>
    <x v="22"/>
    <x v="2"/>
    <x v="7"/>
    <x v="6"/>
    <x v="2"/>
    <x v="45"/>
    <x v="0"/>
    <x v="1"/>
    <x v="1"/>
    <x v="0"/>
  </r>
  <r>
    <x v="46"/>
    <x v="23"/>
    <x v="2"/>
    <x v="7"/>
    <x v="2"/>
    <x v="26"/>
    <x v="46"/>
    <x v="0"/>
    <x v="1"/>
    <x v="1"/>
    <x v="0"/>
  </r>
  <r>
    <x v="47"/>
    <x v="23"/>
    <x v="0"/>
    <x v="10"/>
    <x v="10"/>
    <x v="24"/>
    <x v="47"/>
    <x v="1"/>
    <x v="1"/>
    <x v="1"/>
    <x v="0"/>
  </r>
  <r>
    <x v="48"/>
    <x v="24"/>
    <x v="3"/>
    <x v="3"/>
    <x v="3"/>
    <x v="6"/>
    <x v="48"/>
    <x v="0"/>
    <x v="0"/>
    <x v="0"/>
    <x v="0"/>
  </r>
  <r>
    <x v="49"/>
    <x v="24"/>
    <x v="2"/>
    <x v="5"/>
    <x v="5"/>
    <x v="27"/>
    <x v="49"/>
    <x v="0"/>
    <x v="1"/>
    <x v="1"/>
    <x v="0"/>
  </r>
  <r>
    <x v="50"/>
    <x v="24"/>
    <x v="2"/>
    <x v="7"/>
    <x v="6"/>
    <x v="16"/>
    <x v="50"/>
    <x v="0"/>
    <x v="2"/>
    <x v="2"/>
    <x v="0"/>
  </r>
  <r>
    <x v="51"/>
    <x v="25"/>
    <x v="2"/>
    <x v="7"/>
    <x v="6"/>
    <x v="13"/>
    <x v="51"/>
    <x v="0"/>
    <x v="0"/>
    <x v="0"/>
    <x v="0"/>
  </r>
  <r>
    <x v="52"/>
    <x v="26"/>
    <x v="0"/>
    <x v="0"/>
    <x v="0"/>
    <x v="28"/>
    <x v="52"/>
    <x v="0"/>
    <x v="2"/>
    <x v="2"/>
    <x v="0"/>
  </r>
  <r>
    <x v="53"/>
    <x v="26"/>
    <x v="3"/>
    <x v="6"/>
    <x v="3"/>
    <x v="5"/>
    <x v="53"/>
    <x v="0"/>
    <x v="2"/>
    <x v="2"/>
    <x v="0"/>
  </r>
  <r>
    <x v="54"/>
    <x v="27"/>
    <x v="3"/>
    <x v="6"/>
    <x v="6"/>
    <x v="22"/>
    <x v="54"/>
    <x v="0"/>
    <x v="2"/>
    <x v="2"/>
    <x v="0"/>
  </r>
  <r>
    <x v="55"/>
    <x v="27"/>
    <x v="2"/>
    <x v="2"/>
    <x v="5"/>
    <x v="29"/>
    <x v="55"/>
    <x v="1"/>
    <x v="1"/>
    <x v="1"/>
    <x v="0"/>
  </r>
  <r>
    <x v="56"/>
    <x v="28"/>
    <x v="2"/>
    <x v="2"/>
    <x v="5"/>
    <x v="30"/>
    <x v="56"/>
    <x v="1"/>
    <x v="1"/>
    <x v="1"/>
    <x v="0"/>
  </r>
  <r>
    <x v="57"/>
    <x v="28"/>
    <x v="0"/>
    <x v="10"/>
    <x v="0"/>
    <x v="23"/>
    <x v="57"/>
    <x v="0"/>
    <x v="2"/>
    <x v="2"/>
    <x v="0"/>
  </r>
  <r>
    <x v="58"/>
    <x v="29"/>
    <x v="1"/>
    <x v="1"/>
    <x v="8"/>
    <x v="6"/>
    <x v="58"/>
    <x v="0"/>
    <x v="0"/>
    <x v="0"/>
    <x v="0"/>
  </r>
  <r>
    <x v="59"/>
    <x v="30"/>
    <x v="2"/>
    <x v="2"/>
    <x v="5"/>
    <x v="4"/>
    <x v="59"/>
    <x v="0"/>
    <x v="0"/>
    <x v="0"/>
    <x v="0"/>
  </r>
  <r>
    <x v="60"/>
    <x v="30"/>
    <x v="4"/>
    <x v="8"/>
    <x v="4"/>
    <x v="31"/>
    <x v="60"/>
    <x v="1"/>
    <x v="3"/>
    <x v="3"/>
    <x v="0"/>
  </r>
  <r>
    <x v="61"/>
    <x v="31"/>
    <x v="3"/>
    <x v="6"/>
    <x v="3"/>
    <x v="11"/>
    <x v="61"/>
    <x v="0"/>
    <x v="0"/>
    <x v="0"/>
    <x v="0"/>
  </r>
  <r>
    <x v="62"/>
    <x v="32"/>
    <x v="0"/>
    <x v="0"/>
    <x v="4"/>
    <x v="10"/>
    <x v="62"/>
    <x v="0"/>
    <x v="0"/>
    <x v="0"/>
    <x v="0"/>
  </r>
  <r>
    <x v="63"/>
    <x v="33"/>
    <x v="3"/>
    <x v="3"/>
    <x v="6"/>
    <x v="16"/>
    <x v="63"/>
    <x v="0"/>
    <x v="2"/>
    <x v="2"/>
    <x v="0"/>
  </r>
  <r>
    <x v="64"/>
    <x v="33"/>
    <x v="2"/>
    <x v="5"/>
    <x v="2"/>
    <x v="32"/>
    <x v="64"/>
    <x v="0"/>
    <x v="0"/>
    <x v="0"/>
    <x v="0"/>
  </r>
  <r>
    <x v="65"/>
    <x v="34"/>
    <x v="1"/>
    <x v="1"/>
    <x v="3"/>
    <x v="33"/>
    <x v="65"/>
    <x v="0"/>
    <x v="2"/>
    <x v="2"/>
    <x v="0"/>
  </r>
  <r>
    <x v="66"/>
    <x v="35"/>
    <x v="3"/>
    <x v="6"/>
    <x v="6"/>
    <x v="6"/>
    <x v="66"/>
    <x v="0"/>
    <x v="0"/>
    <x v="0"/>
    <x v="0"/>
  </r>
  <r>
    <x v="67"/>
    <x v="35"/>
    <x v="0"/>
    <x v="10"/>
    <x v="10"/>
    <x v="17"/>
    <x v="67"/>
    <x v="0"/>
    <x v="0"/>
    <x v="0"/>
    <x v="0"/>
  </r>
  <r>
    <x v="68"/>
    <x v="35"/>
    <x v="2"/>
    <x v="2"/>
    <x v="6"/>
    <x v="34"/>
    <x v="68"/>
    <x v="0"/>
    <x v="0"/>
    <x v="0"/>
    <x v="0"/>
  </r>
  <r>
    <x v="69"/>
    <x v="36"/>
    <x v="0"/>
    <x v="10"/>
    <x v="0"/>
    <x v="35"/>
    <x v="69"/>
    <x v="0"/>
    <x v="2"/>
    <x v="2"/>
    <x v="0"/>
  </r>
  <r>
    <x v="70"/>
    <x v="36"/>
    <x v="1"/>
    <x v="1"/>
    <x v="1"/>
    <x v="4"/>
    <x v="70"/>
    <x v="0"/>
    <x v="0"/>
    <x v="0"/>
    <x v="0"/>
  </r>
  <r>
    <x v="71"/>
    <x v="37"/>
    <x v="3"/>
    <x v="3"/>
    <x v="3"/>
    <x v="10"/>
    <x v="71"/>
    <x v="0"/>
    <x v="0"/>
    <x v="0"/>
    <x v="0"/>
  </r>
  <r>
    <x v="72"/>
    <x v="37"/>
    <x v="3"/>
    <x v="6"/>
    <x v="3"/>
    <x v="11"/>
    <x v="72"/>
    <x v="0"/>
    <x v="0"/>
    <x v="0"/>
    <x v="0"/>
  </r>
  <r>
    <x v="73"/>
    <x v="38"/>
    <x v="0"/>
    <x v="0"/>
    <x v="4"/>
    <x v="14"/>
    <x v="73"/>
    <x v="0"/>
    <x v="0"/>
    <x v="0"/>
    <x v="0"/>
  </r>
  <r>
    <x v="74"/>
    <x v="38"/>
    <x v="1"/>
    <x v="1"/>
    <x v="8"/>
    <x v="18"/>
    <x v="74"/>
    <x v="0"/>
    <x v="0"/>
    <x v="0"/>
    <x v="0"/>
  </r>
  <r>
    <x v="75"/>
    <x v="38"/>
    <x v="3"/>
    <x v="3"/>
    <x v="6"/>
    <x v="5"/>
    <x v="75"/>
    <x v="0"/>
    <x v="2"/>
    <x v="2"/>
    <x v="0"/>
  </r>
  <r>
    <x v="76"/>
    <x v="39"/>
    <x v="0"/>
    <x v="0"/>
    <x v="4"/>
    <x v="36"/>
    <x v="76"/>
    <x v="0"/>
    <x v="1"/>
    <x v="1"/>
    <x v="0"/>
  </r>
  <r>
    <x v="77"/>
    <x v="40"/>
    <x v="2"/>
    <x v="7"/>
    <x v="2"/>
    <x v="14"/>
    <x v="77"/>
    <x v="0"/>
    <x v="0"/>
    <x v="0"/>
    <x v="0"/>
  </r>
  <r>
    <x v="78"/>
    <x v="40"/>
    <x v="2"/>
    <x v="2"/>
    <x v="5"/>
    <x v="32"/>
    <x v="78"/>
    <x v="0"/>
    <x v="0"/>
    <x v="0"/>
    <x v="0"/>
  </r>
  <r>
    <x v="79"/>
    <x v="40"/>
    <x v="3"/>
    <x v="6"/>
    <x v="3"/>
    <x v="32"/>
    <x v="79"/>
    <x v="0"/>
    <x v="0"/>
    <x v="0"/>
    <x v="0"/>
  </r>
  <r>
    <x v="80"/>
    <x v="41"/>
    <x v="2"/>
    <x v="2"/>
    <x v="2"/>
    <x v="1"/>
    <x v="80"/>
    <x v="0"/>
    <x v="0"/>
    <x v="0"/>
    <x v="0"/>
  </r>
  <r>
    <x v="81"/>
    <x v="41"/>
    <x v="2"/>
    <x v="2"/>
    <x v="5"/>
    <x v="34"/>
    <x v="81"/>
    <x v="0"/>
    <x v="0"/>
    <x v="0"/>
    <x v="0"/>
  </r>
  <r>
    <x v="82"/>
    <x v="42"/>
    <x v="2"/>
    <x v="5"/>
    <x v="6"/>
    <x v="26"/>
    <x v="82"/>
    <x v="0"/>
    <x v="1"/>
    <x v="1"/>
    <x v="0"/>
  </r>
  <r>
    <x v="83"/>
    <x v="43"/>
    <x v="0"/>
    <x v="10"/>
    <x v="4"/>
    <x v="20"/>
    <x v="83"/>
    <x v="0"/>
    <x v="0"/>
    <x v="0"/>
    <x v="0"/>
  </r>
  <r>
    <x v="84"/>
    <x v="44"/>
    <x v="3"/>
    <x v="3"/>
    <x v="6"/>
    <x v="8"/>
    <x v="84"/>
    <x v="0"/>
    <x v="0"/>
    <x v="0"/>
    <x v="0"/>
  </r>
  <r>
    <x v="85"/>
    <x v="44"/>
    <x v="0"/>
    <x v="0"/>
    <x v="4"/>
    <x v="32"/>
    <x v="85"/>
    <x v="0"/>
    <x v="0"/>
    <x v="0"/>
    <x v="0"/>
  </r>
  <r>
    <x v="86"/>
    <x v="45"/>
    <x v="2"/>
    <x v="2"/>
    <x v="2"/>
    <x v="37"/>
    <x v="86"/>
    <x v="1"/>
    <x v="4"/>
    <x v="4"/>
    <x v="0"/>
  </r>
  <r>
    <x v="87"/>
    <x v="45"/>
    <x v="1"/>
    <x v="9"/>
    <x v="1"/>
    <x v="33"/>
    <x v="87"/>
    <x v="0"/>
    <x v="2"/>
    <x v="2"/>
    <x v="0"/>
  </r>
  <r>
    <x v="88"/>
    <x v="46"/>
    <x v="0"/>
    <x v="0"/>
    <x v="0"/>
    <x v="17"/>
    <x v="88"/>
    <x v="0"/>
    <x v="0"/>
    <x v="0"/>
    <x v="0"/>
  </r>
  <r>
    <x v="89"/>
    <x v="47"/>
    <x v="2"/>
    <x v="2"/>
    <x v="2"/>
    <x v="13"/>
    <x v="89"/>
    <x v="0"/>
    <x v="0"/>
    <x v="0"/>
    <x v="0"/>
  </r>
  <r>
    <x v="90"/>
    <x v="48"/>
    <x v="2"/>
    <x v="5"/>
    <x v="6"/>
    <x v="24"/>
    <x v="90"/>
    <x v="0"/>
    <x v="1"/>
    <x v="1"/>
    <x v="0"/>
  </r>
  <r>
    <x v="91"/>
    <x v="48"/>
    <x v="1"/>
    <x v="9"/>
    <x v="8"/>
    <x v="16"/>
    <x v="91"/>
    <x v="0"/>
    <x v="2"/>
    <x v="2"/>
    <x v="0"/>
  </r>
  <r>
    <x v="92"/>
    <x v="49"/>
    <x v="0"/>
    <x v="10"/>
    <x v="0"/>
    <x v="38"/>
    <x v="92"/>
    <x v="0"/>
    <x v="2"/>
    <x v="2"/>
    <x v="0"/>
  </r>
  <r>
    <x v="93"/>
    <x v="50"/>
    <x v="4"/>
    <x v="4"/>
    <x v="4"/>
    <x v="12"/>
    <x v="93"/>
    <x v="0"/>
    <x v="0"/>
    <x v="0"/>
    <x v="0"/>
  </r>
  <r>
    <x v="94"/>
    <x v="51"/>
    <x v="2"/>
    <x v="7"/>
    <x v="5"/>
    <x v="10"/>
    <x v="94"/>
    <x v="0"/>
    <x v="0"/>
    <x v="0"/>
    <x v="0"/>
  </r>
  <r>
    <x v="95"/>
    <x v="51"/>
    <x v="1"/>
    <x v="1"/>
    <x v="3"/>
    <x v="6"/>
    <x v="95"/>
    <x v="0"/>
    <x v="0"/>
    <x v="0"/>
    <x v="0"/>
  </r>
  <r>
    <x v="96"/>
    <x v="52"/>
    <x v="2"/>
    <x v="5"/>
    <x v="2"/>
    <x v="28"/>
    <x v="96"/>
    <x v="0"/>
    <x v="2"/>
    <x v="2"/>
    <x v="0"/>
  </r>
  <r>
    <x v="97"/>
    <x v="53"/>
    <x v="4"/>
    <x v="4"/>
    <x v="7"/>
    <x v="25"/>
    <x v="97"/>
    <x v="0"/>
    <x v="0"/>
    <x v="0"/>
    <x v="0"/>
  </r>
  <r>
    <x v="98"/>
    <x v="54"/>
    <x v="0"/>
    <x v="0"/>
    <x v="10"/>
    <x v="39"/>
    <x v="98"/>
    <x v="0"/>
    <x v="2"/>
    <x v="2"/>
    <x v="0"/>
  </r>
  <r>
    <x v="99"/>
    <x v="55"/>
    <x v="0"/>
    <x v="0"/>
    <x v="4"/>
    <x v="40"/>
    <x v="99"/>
    <x v="0"/>
    <x v="1"/>
    <x v="1"/>
    <x v="0"/>
  </r>
  <r>
    <x v="100"/>
    <x v="56"/>
    <x v="3"/>
    <x v="3"/>
    <x v="6"/>
    <x v="22"/>
    <x v="100"/>
    <x v="0"/>
    <x v="2"/>
    <x v="2"/>
    <x v="0"/>
  </r>
  <r>
    <x v="101"/>
    <x v="57"/>
    <x v="3"/>
    <x v="6"/>
    <x v="3"/>
    <x v="6"/>
    <x v="101"/>
    <x v="0"/>
    <x v="0"/>
    <x v="0"/>
    <x v="0"/>
  </r>
  <r>
    <x v="102"/>
    <x v="58"/>
    <x v="0"/>
    <x v="10"/>
    <x v="0"/>
    <x v="18"/>
    <x v="102"/>
    <x v="0"/>
    <x v="0"/>
    <x v="0"/>
    <x v="0"/>
  </r>
  <r>
    <x v="103"/>
    <x v="58"/>
    <x v="1"/>
    <x v="1"/>
    <x v="3"/>
    <x v="41"/>
    <x v="103"/>
    <x v="0"/>
    <x v="2"/>
    <x v="2"/>
    <x v="0"/>
  </r>
  <r>
    <x v="104"/>
    <x v="59"/>
    <x v="2"/>
    <x v="2"/>
    <x v="2"/>
    <x v="35"/>
    <x v="104"/>
    <x v="0"/>
    <x v="2"/>
    <x v="2"/>
    <x v="0"/>
  </r>
  <r>
    <x v="105"/>
    <x v="59"/>
    <x v="0"/>
    <x v="10"/>
    <x v="10"/>
    <x v="5"/>
    <x v="105"/>
    <x v="0"/>
    <x v="2"/>
    <x v="2"/>
    <x v="0"/>
  </r>
  <r>
    <x v="106"/>
    <x v="60"/>
    <x v="1"/>
    <x v="9"/>
    <x v="8"/>
    <x v="21"/>
    <x v="106"/>
    <x v="0"/>
    <x v="2"/>
    <x v="2"/>
    <x v="0"/>
  </r>
  <r>
    <x v="107"/>
    <x v="61"/>
    <x v="2"/>
    <x v="5"/>
    <x v="2"/>
    <x v="0"/>
    <x v="107"/>
    <x v="0"/>
    <x v="0"/>
    <x v="0"/>
    <x v="0"/>
  </r>
  <r>
    <x v="108"/>
    <x v="62"/>
    <x v="2"/>
    <x v="2"/>
    <x v="2"/>
    <x v="24"/>
    <x v="108"/>
    <x v="0"/>
    <x v="1"/>
    <x v="1"/>
    <x v="0"/>
  </r>
  <r>
    <x v="109"/>
    <x v="63"/>
    <x v="2"/>
    <x v="2"/>
    <x v="2"/>
    <x v="8"/>
    <x v="109"/>
    <x v="0"/>
    <x v="0"/>
    <x v="0"/>
    <x v="0"/>
  </r>
  <r>
    <x v="110"/>
    <x v="63"/>
    <x v="0"/>
    <x v="0"/>
    <x v="4"/>
    <x v="42"/>
    <x v="110"/>
    <x v="0"/>
    <x v="0"/>
    <x v="0"/>
    <x v="0"/>
  </r>
  <r>
    <x v="111"/>
    <x v="64"/>
    <x v="2"/>
    <x v="7"/>
    <x v="2"/>
    <x v="15"/>
    <x v="111"/>
    <x v="0"/>
    <x v="0"/>
    <x v="0"/>
    <x v="0"/>
  </r>
  <r>
    <x v="112"/>
    <x v="64"/>
    <x v="2"/>
    <x v="5"/>
    <x v="5"/>
    <x v="39"/>
    <x v="112"/>
    <x v="0"/>
    <x v="2"/>
    <x v="2"/>
    <x v="0"/>
  </r>
  <r>
    <x v="113"/>
    <x v="64"/>
    <x v="2"/>
    <x v="2"/>
    <x v="6"/>
    <x v="20"/>
    <x v="113"/>
    <x v="0"/>
    <x v="0"/>
    <x v="0"/>
    <x v="0"/>
  </r>
  <r>
    <x v="114"/>
    <x v="65"/>
    <x v="1"/>
    <x v="9"/>
    <x v="1"/>
    <x v="10"/>
    <x v="114"/>
    <x v="0"/>
    <x v="0"/>
    <x v="0"/>
    <x v="0"/>
  </r>
  <r>
    <x v="115"/>
    <x v="65"/>
    <x v="2"/>
    <x v="5"/>
    <x v="6"/>
    <x v="43"/>
    <x v="115"/>
    <x v="1"/>
    <x v="4"/>
    <x v="4"/>
    <x v="0"/>
  </r>
  <r>
    <x v="116"/>
    <x v="66"/>
    <x v="0"/>
    <x v="10"/>
    <x v="4"/>
    <x v="8"/>
    <x v="116"/>
    <x v="0"/>
    <x v="0"/>
    <x v="0"/>
    <x v="0"/>
  </r>
  <r>
    <x v="117"/>
    <x v="66"/>
    <x v="3"/>
    <x v="3"/>
    <x v="11"/>
    <x v="12"/>
    <x v="117"/>
    <x v="0"/>
    <x v="0"/>
    <x v="0"/>
    <x v="0"/>
  </r>
  <r>
    <x v="118"/>
    <x v="67"/>
    <x v="4"/>
    <x v="8"/>
    <x v="9"/>
    <x v="26"/>
    <x v="118"/>
    <x v="0"/>
    <x v="1"/>
    <x v="1"/>
    <x v="0"/>
  </r>
  <r>
    <x v="119"/>
    <x v="67"/>
    <x v="1"/>
    <x v="9"/>
    <x v="1"/>
    <x v="44"/>
    <x v="119"/>
    <x v="0"/>
    <x v="2"/>
    <x v="2"/>
    <x v="0"/>
  </r>
  <r>
    <x v="120"/>
    <x v="67"/>
    <x v="2"/>
    <x v="5"/>
    <x v="2"/>
    <x v="45"/>
    <x v="120"/>
    <x v="0"/>
    <x v="2"/>
    <x v="2"/>
    <x v="0"/>
  </r>
  <r>
    <x v="121"/>
    <x v="67"/>
    <x v="2"/>
    <x v="5"/>
    <x v="6"/>
    <x v="18"/>
    <x v="121"/>
    <x v="0"/>
    <x v="0"/>
    <x v="0"/>
    <x v="0"/>
  </r>
  <r>
    <x v="122"/>
    <x v="68"/>
    <x v="4"/>
    <x v="4"/>
    <x v="7"/>
    <x v="46"/>
    <x v="122"/>
    <x v="0"/>
    <x v="4"/>
    <x v="4"/>
    <x v="0"/>
  </r>
  <r>
    <x v="123"/>
    <x v="68"/>
    <x v="3"/>
    <x v="6"/>
    <x v="11"/>
    <x v="3"/>
    <x v="123"/>
    <x v="1"/>
    <x v="1"/>
    <x v="1"/>
    <x v="0"/>
  </r>
  <r>
    <x v="124"/>
    <x v="68"/>
    <x v="2"/>
    <x v="7"/>
    <x v="2"/>
    <x v="16"/>
    <x v="124"/>
    <x v="0"/>
    <x v="2"/>
    <x v="2"/>
    <x v="0"/>
  </r>
  <r>
    <x v="125"/>
    <x v="68"/>
    <x v="3"/>
    <x v="3"/>
    <x v="11"/>
    <x v="47"/>
    <x v="125"/>
    <x v="0"/>
    <x v="2"/>
    <x v="2"/>
    <x v="0"/>
  </r>
  <r>
    <x v="126"/>
    <x v="69"/>
    <x v="3"/>
    <x v="6"/>
    <x v="6"/>
    <x v="19"/>
    <x v="126"/>
    <x v="0"/>
    <x v="0"/>
    <x v="0"/>
    <x v="0"/>
  </r>
  <r>
    <x v="127"/>
    <x v="69"/>
    <x v="2"/>
    <x v="7"/>
    <x v="2"/>
    <x v="40"/>
    <x v="127"/>
    <x v="0"/>
    <x v="1"/>
    <x v="1"/>
    <x v="0"/>
  </r>
  <r>
    <x v="128"/>
    <x v="70"/>
    <x v="2"/>
    <x v="2"/>
    <x v="5"/>
    <x v="2"/>
    <x v="128"/>
    <x v="0"/>
    <x v="1"/>
    <x v="1"/>
    <x v="0"/>
  </r>
  <r>
    <x v="129"/>
    <x v="71"/>
    <x v="0"/>
    <x v="10"/>
    <x v="0"/>
    <x v="36"/>
    <x v="129"/>
    <x v="0"/>
    <x v="1"/>
    <x v="1"/>
    <x v="0"/>
  </r>
  <r>
    <x v="130"/>
    <x v="72"/>
    <x v="0"/>
    <x v="0"/>
    <x v="10"/>
    <x v="25"/>
    <x v="130"/>
    <x v="0"/>
    <x v="0"/>
    <x v="0"/>
    <x v="0"/>
  </r>
  <r>
    <x v="131"/>
    <x v="73"/>
    <x v="4"/>
    <x v="8"/>
    <x v="9"/>
    <x v="14"/>
    <x v="131"/>
    <x v="0"/>
    <x v="0"/>
    <x v="0"/>
    <x v="0"/>
  </r>
  <r>
    <x v="132"/>
    <x v="73"/>
    <x v="2"/>
    <x v="2"/>
    <x v="5"/>
    <x v="5"/>
    <x v="132"/>
    <x v="0"/>
    <x v="2"/>
    <x v="2"/>
    <x v="0"/>
  </r>
  <r>
    <x v="133"/>
    <x v="73"/>
    <x v="0"/>
    <x v="0"/>
    <x v="0"/>
    <x v="11"/>
    <x v="133"/>
    <x v="0"/>
    <x v="0"/>
    <x v="0"/>
    <x v="0"/>
  </r>
  <r>
    <x v="134"/>
    <x v="74"/>
    <x v="1"/>
    <x v="9"/>
    <x v="3"/>
    <x v="10"/>
    <x v="134"/>
    <x v="0"/>
    <x v="0"/>
    <x v="0"/>
    <x v="0"/>
  </r>
  <r>
    <x v="135"/>
    <x v="75"/>
    <x v="2"/>
    <x v="2"/>
    <x v="6"/>
    <x v="48"/>
    <x v="135"/>
    <x v="0"/>
    <x v="1"/>
    <x v="1"/>
    <x v="0"/>
  </r>
  <r>
    <x v="136"/>
    <x v="76"/>
    <x v="1"/>
    <x v="1"/>
    <x v="3"/>
    <x v="15"/>
    <x v="136"/>
    <x v="0"/>
    <x v="0"/>
    <x v="0"/>
    <x v="0"/>
  </r>
  <r>
    <x v="137"/>
    <x v="77"/>
    <x v="3"/>
    <x v="3"/>
    <x v="11"/>
    <x v="49"/>
    <x v="137"/>
    <x v="0"/>
    <x v="0"/>
    <x v="0"/>
    <x v="0"/>
  </r>
  <r>
    <x v="138"/>
    <x v="78"/>
    <x v="3"/>
    <x v="6"/>
    <x v="3"/>
    <x v="12"/>
    <x v="138"/>
    <x v="0"/>
    <x v="0"/>
    <x v="0"/>
    <x v="0"/>
  </r>
  <r>
    <x v="139"/>
    <x v="78"/>
    <x v="2"/>
    <x v="2"/>
    <x v="6"/>
    <x v="50"/>
    <x v="139"/>
    <x v="1"/>
    <x v="4"/>
    <x v="4"/>
    <x v="0"/>
  </r>
  <r>
    <x v="140"/>
    <x v="79"/>
    <x v="2"/>
    <x v="5"/>
    <x v="5"/>
    <x v="34"/>
    <x v="140"/>
    <x v="0"/>
    <x v="0"/>
    <x v="0"/>
    <x v="0"/>
  </r>
  <r>
    <x v="141"/>
    <x v="80"/>
    <x v="2"/>
    <x v="2"/>
    <x v="5"/>
    <x v="2"/>
    <x v="141"/>
    <x v="0"/>
    <x v="1"/>
    <x v="1"/>
    <x v="0"/>
  </r>
  <r>
    <x v="142"/>
    <x v="80"/>
    <x v="2"/>
    <x v="5"/>
    <x v="2"/>
    <x v="36"/>
    <x v="142"/>
    <x v="0"/>
    <x v="1"/>
    <x v="1"/>
    <x v="0"/>
  </r>
  <r>
    <x v="143"/>
    <x v="81"/>
    <x v="3"/>
    <x v="3"/>
    <x v="3"/>
    <x v="34"/>
    <x v="58"/>
    <x v="0"/>
    <x v="0"/>
    <x v="0"/>
    <x v="0"/>
  </r>
  <r>
    <x v="144"/>
    <x v="82"/>
    <x v="2"/>
    <x v="7"/>
    <x v="5"/>
    <x v="25"/>
    <x v="143"/>
    <x v="0"/>
    <x v="0"/>
    <x v="0"/>
    <x v="0"/>
  </r>
  <r>
    <x v="145"/>
    <x v="82"/>
    <x v="4"/>
    <x v="8"/>
    <x v="7"/>
    <x v="51"/>
    <x v="144"/>
    <x v="0"/>
    <x v="1"/>
    <x v="1"/>
    <x v="0"/>
  </r>
  <r>
    <x v="146"/>
    <x v="83"/>
    <x v="0"/>
    <x v="0"/>
    <x v="10"/>
    <x v="4"/>
    <x v="145"/>
    <x v="0"/>
    <x v="0"/>
    <x v="0"/>
    <x v="0"/>
  </r>
  <r>
    <x v="147"/>
    <x v="84"/>
    <x v="1"/>
    <x v="9"/>
    <x v="3"/>
    <x v="35"/>
    <x v="146"/>
    <x v="0"/>
    <x v="2"/>
    <x v="2"/>
    <x v="0"/>
  </r>
  <r>
    <x v="148"/>
    <x v="84"/>
    <x v="2"/>
    <x v="5"/>
    <x v="5"/>
    <x v="6"/>
    <x v="147"/>
    <x v="0"/>
    <x v="0"/>
    <x v="0"/>
    <x v="0"/>
  </r>
  <r>
    <x v="149"/>
    <x v="84"/>
    <x v="1"/>
    <x v="1"/>
    <x v="3"/>
    <x v="42"/>
    <x v="148"/>
    <x v="1"/>
    <x v="0"/>
    <x v="0"/>
    <x v="0"/>
  </r>
  <r>
    <x v="150"/>
    <x v="84"/>
    <x v="1"/>
    <x v="9"/>
    <x v="1"/>
    <x v="38"/>
    <x v="149"/>
    <x v="0"/>
    <x v="2"/>
    <x v="2"/>
    <x v="0"/>
  </r>
  <r>
    <x v="151"/>
    <x v="85"/>
    <x v="4"/>
    <x v="8"/>
    <x v="4"/>
    <x v="36"/>
    <x v="150"/>
    <x v="0"/>
    <x v="1"/>
    <x v="1"/>
    <x v="0"/>
  </r>
  <r>
    <x v="152"/>
    <x v="86"/>
    <x v="3"/>
    <x v="3"/>
    <x v="3"/>
    <x v="36"/>
    <x v="151"/>
    <x v="1"/>
    <x v="1"/>
    <x v="1"/>
    <x v="0"/>
  </r>
  <r>
    <x v="153"/>
    <x v="87"/>
    <x v="2"/>
    <x v="7"/>
    <x v="5"/>
    <x v="13"/>
    <x v="152"/>
    <x v="0"/>
    <x v="0"/>
    <x v="0"/>
    <x v="0"/>
  </r>
  <r>
    <x v="154"/>
    <x v="87"/>
    <x v="3"/>
    <x v="3"/>
    <x v="6"/>
    <x v="4"/>
    <x v="153"/>
    <x v="0"/>
    <x v="0"/>
    <x v="0"/>
    <x v="0"/>
  </r>
  <r>
    <x v="155"/>
    <x v="88"/>
    <x v="1"/>
    <x v="9"/>
    <x v="3"/>
    <x v="44"/>
    <x v="154"/>
    <x v="0"/>
    <x v="2"/>
    <x v="2"/>
    <x v="0"/>
  </r>
  <r>
    <x v="156"/>
    <x v="88"/>
    <x v="1"/>
    <x v="9"/>
    <x v="1"/>
    <x v="22"/>
    <x v="155"/>
    <x v="0"/>
    <x v="2"/>
    <x v="2"/>
    <x v="0"/>
  </r>
  <r>
    <x v="157"/>
    <x v="88"/>
    <x v="2"/>
    <x v="2"/>
    <x v="5"/>
    <x v="45"/>
    <x v="156"/>
    <x v="0"/>
    <x v="2"/>
    <x v="2"/>
    <x v="0"/>
  </r>
  <r>
    <x v="158"/>
    <x v="89"/>
    <x v="4"/>
    <x v="4"/>
    <x v="9"/>
    <x v="1"/>
    <x v="157"/>
    <x v="0"/>
    <x v="0"/>
    <x v="0"/>
    <x v="0"/>
  </r>
  <r>
    <x v="159"/>
    <x v="89"/>
    <x v="3"/>
    <x v="3"/>
    <x v="11"/>
    <x v="11"/>
    <x v="158"/>
    <x v="0"/>
    <x v="0"/>
    <x v="0"/>
    <x v="0"/>
  </r>
  <r>
    <x v="160"/>
    <x v="90"/>
    <x v="2"/>
    <x v="7"/>
    <x v="6"/>
    <x v="11"/>
    <x v="159"/>
    <x v="0"/>
    <x v="0"/>
    <x v="0"/>
    <x v="0"/>
  </r>
  <r>
    <x v="161"/>
    <x v="90"/>
    <x v="4"/>
    <x v="4"/>
    <x v="7"/>
    <x v="0"/>
    <x v="160"/>
    <x v="0"/>
    <x v="0"/>
    <x v="0"/>
    <x v="0"/>
  </r>
  <r>
    <x v="162"/>
    <x v="91"/>
    <x v="2"/>
    <x v="5"/>
    <x v="6"/>
    <x v="42"/>
    <x v="161"/>
    <x v="0"/>
    <x v="0"/>
    <x v="0"/>
    <x v="0"/>
  </r>
  <r>
    <x v="163"/>
    <x v="92"/>
    <x v="3"/>
    <x v="3"/>
    <x v="11"/>
    <x v="49"/>
    <x v="162"/>
    <x v="0"/>
    <x v="0"/>
    <x v="0"/>
    <x v="0"/>
  </r>
  <r>
    <x v="164"/>
    <x v="93"/>
    <x v="0"/>
    <x v="0"/>
    <x v="0"/>
    <x v="35"/>
    <x v="163"/>
    <x v="0"/>
    <x v="2"/>
    <x v="2"/>
    <x v="0"/>
  </r>
  <r>
    <x v="165"/>
    <x v="93"/>
    <x v="0"/>
    <x v="10"/>
    <x v="10"/>
    <x v="8"/>
    <x v="164"/>
    <x v="0"/>
    <x v="0"/>
    <x v="0"/>
    <x v="0"/>
  </r>
  <r>
    <x v="166"/>
    <x v="93"/>
    <x v="1"/>
    <x v="1"/>
    <x v="3"/>
    <x v="8"/>
    <x v="165"/>
    <x v="0"/>
    <x v="0"/>
    <x v="0"/>
    <x v="0"/>
  </r>
  <r>
    <x v="167"/>
    <x v="94"/>
    <x v="3"/>
    <x v="3"/>
    <x v="11"/>
    <x v="20"/>
    <x v="166"/>
    <x v="0"/>
    <x v="0"/>
    <x v="0"/>
    <x v="0"/>
  </r>
  <r>
    <x v="168"/>
    <x v="95"/>
    <x v="2"/>
    <x v="7"/>
    <x v="2"/>
    <x v="17"/>
    <x v="167"/>
    <x v="0"/>
    <x v="0"/>
    <x v="0"/>
    <x v="0"/>
  </r>
  <r>
    <x v="169"/>
    <x v="95"/>
    <x v="3"/>
    <x v="6"/>
    <x v="11"/>
    <x v="15"/>
    <x v="168"/>
    <x v="0"/>
    <x v="0"/>
    <x v="0"/>
    <x v="0"/>
  </r>
  <r>
    <x v="170"/>
    <x v="95"/>
    <x v="1"/>
    <x v="1"/>
    <x v="8"/>
    <x v="18"/>
    <x v="169"/>
    <x v="0"/>
    <x v="0"/>
    <x v="0"/>
    <x v="0"/>
  </r>
  <r>
    <x v="171"/>
    <x v="95"/>
    <x v="1"/>
    <x v="1"/>
    <x v="8"/>
    <x v="20"/>
    <x v="170"/>
    <x v="1"/>
    <x v="0"/>
    <x v="0"/>
    <x v="0"/>
  </r>
  <r>
    <x v="172"/>
    <x v="96"/>
    <x v="3"/>
    <x v="3"/>
    <x v="11"/>
    <x v="18"/>
    <x v="171"/>
    <x v="0"/>
    <x v="0"/>
    <x v="0"/>
    <x v="0"/>
  </r>
  <r>
    <x v="173"/>
    <x v="97"/>
    <x v="2"/>
    <x v="5"/>
    <x v="5"/>
    <x v="25"/>
    <x v="172"/>
    <x v="0"/>
    <x v="0"/>
    <x v="0"/>
    <x v="0"/>
  </r>
  <r>
    <x v="174"/>
    <x v="98"/>
    <x v="2"/>
    <x v="7"/>
    <x v="5"/>
    <x v="0"/>
    <x v="173"/>
    <x v="0"/>
    <x v="0"/>
    <x v="0"/>
    <x v="0"/>
  </r>
  <r>
    <x v="175"/>
    <x v="98"/>
    <x v="0"/>
    <x v="10"/>
    <x v="4"/>
    <x v="14"/>
    <x v="174"/>
    <x v="0"/>
    <x v="0"/>
    <x v="0"/>
    <x v="0"/>
  </r>
  <r>
    <x v="176"/>
    <x v="98"/>
    <x v="0"/>
    <x v="0"/>
    <x v="0"/>
    <x v="12"/>
    <x v="175"/>
    <x v="0"/>
    <x v="0"/>
    <x v="0"/>
    <x v="0"/>
  </r>
  <r>
    <x v="177"/>
    <x v="99"/>
    <x v="3"/>
    <x v="3"/>
    <x v="3"/>
    <x v="0"/>
    <x v="176"/>
    <x v="0"/>
    <x v="0"/>
    <x v="0"/>
    <x v="0"/>
  </r>
  <r>
    <x v="178"/>
    <x v="100"/>
    <x v="0"/>
    <x v="0"/>
    <x v="10"/>
    <x v="52"/>
    <x v="177"/>
    <x v="0"/>
    <x v="1"/>
    <x v="1"/>
    <x v="0"/>
  </r>
  <r>
    <x v="179"/>
    <x v="100"/>
    <x v="2"/>
    <x v="5"/>
    <x v="2"/>
    <x v="8"/>
    <x v="178"/>
    <x v="0"/>
    <x v="0"/>
    <x v="0"/>
    <x v="0"/>
  </r>
  <r>
    <x v="180"/>
    <x v="101"/>
    <x v="0"/>
    <x v="10"/>
    <x v="4"/>
    <x v="53"/>
    <x v="179"/>
    <x v="0"/>
    <x v="2"/>
    <x v="2"/>
    <x v="0"/>
  </r>
  <r>
    <x v="181"/>
    <x v="102"/>
    <x v="2"/>
    <x v="5"/>
    <x v="5"/>
    <x v="24"/>
    <x v="180"/>
    <x v="0"/>
    <x v="1"/>
    <x v="1"/>
    <x v="0"/>
  </r>
  <r>
    <x v="182"/>
    <x v="103"/>
    <x v="1"/>
    <x v="9"/>
    <x v="8"/>
    <x v="5"/>
    <x v="181"/>
    <x v="0"/>
    <x v="2"/>
    <x v="2"/>
    <x v="0"/>
  </r>
  <r>
    <x v="183"/>
    <x v="104"/>
    <x v="3"/>
    <x v="6"/>
    <x v="6"/>
    <x v="20"/>
    <x v="182"/>
    <x v="0"/>
    <x v="0"/>
    <x v="0"/>
    <x v="0"/>
  </r>
  <r>
    <x v="184"/>
    <x v="104"/>
    <x v="1"/>
    <x v="9"/>
    <x v="1"/>
    <x v="22"/>
    <x v="183"/>
    <x v="0"/>
    <x v="2"/>
    <x v="2"/>
    <x v="0"/>
  </r>
  <r>
    <x v="185"/>
    <x v="105"/>
    <x v="1"/>
    <x v="1"/>
    <x v="3"/>
    <x v="8"/>
    <x v="184"/>
    <x v="0"/>
    <x v="0"/>
    <x v="0"/>
    <x v="0"/>
  </r>
  <r>
    <x v="186"/>
    <x v="106"/>
    <x v="2"/>
    <x v="2"/>
    <x v="2"/>
    <x v="14"/>
    <x v="185"/>
    <x v="0"/>
    <x v="0"/>
    <x v="0"/>
    <x v="0"/>
  </r>
  <r>
    <x v="187"/>
    <x v="107"/>
    <x v="3"/>
    <x v="3"/>
    <x v="6"/>
    <x v="5"/>
    <x v="186"/>
    <x v="0"/>
    <x v="2"/>
    <x v="2"/>
    <x v="0"/>
  </r>
  <r>
    <x v="188"/>
    <x v="108"/>
    <x v="2"/>
    <x v="5"/>
    <x v="6"/>
    <x v="14"/>
    <x v="187"/>
    <x v="0"/>
    <x v="0"/>
    <x v="0"/>
    <x v="0"/>
  </r>
  <r>
    <x v="189"/>
    <x v="108"/>
    <x v="4"/>
    <x v="8"/>
    <x v="7"/>
    <x v="46"/>
    <x v="188"/>
    <x v="0"/>
    <x v="4"/>
    <x v="4"/>
    <x v="0"/>
  </r>
  <r>
    <x v="190"/>
    <x v="109"/>
    <x v="0"/>
    <x v="0"/>
    <x v="10"/>
    <x v="39"/>
    <x v="189"/>
    <x v="0"/>
    <x v="2"/>
    <x v="2"/>
    <x v="0"/>
  </r>
  <r>
    <x v="191"/>
    <x v="110"/>
    <x v="1"/>
    <x v="9"/>
    <x v="8"/>
    <x v="44"/>
    <x v="190"/>
    <x v="0"/>
    <x v="2"/>
    <x v="2"/>
    <x v="0"/>
  </r>
  <r>
    <x v="192"/>
    <x v="111"/>
    <x v="3"/>
    <x v="6"/>
    <x v="3"/>
    <x v="5"/>
    <x v="191"/>
    <x v="0"/>
    <x v="2"/>
    <x v="2"/>
    <x v="0"/>
  </r>
  <r>
    <x v="193"/>
    <x v="111"/>
    <x v="1"/>
    <x v="1"/>
    <x v="3"/>
    <x v="14"/>
    <x v="192"/>
    <x v="1"/>
    <x v="0"/>
    <x v="0"/>
    <x v="0"/>
  </r>
  <r>
    <x v="194"/>
    <x v="111"/>
    <x v="3"/>
    <x v="3"/>
    <x v="6"/>
    <x v="17"/>
    <x v="193"/>
    <x v="0"/>
    <x v="0"/>
    <x v="0"/>
    <x v="0"/>
  </r>
  <r>
    <x v="195"/>
    <x v="111"/>
    <x v="4"/>
    <x v="8"/>
    <x v="4"/>
    <x v="54"/>
    <x v="194"/>
    <x v="0"/>
    <x v="4"/>
    <x v="4"/>
    <x v="0"/>
  </r>
  <r>
    <x v="196"/>
    <x v="112"/>
    <x v="4"/>
    <x v="8"/>
    <x v="4"/>
    <x v="29"/>
    <x v="195"/>
    <x v="0"/>
    <x v="1"/>
    <x v="1"/>
    <x v="0"/>
  </r>
  <r>
    <x v="197"/>
    <x v="113"/>
    <x v="3"/>
    <x v="6"/>
    <x v="11"/>
    <x v="20"/>
    <x v="196"/>
    <x v="0"/>
    <x v="0"/>
    <x v="0"/>
    <x v="0"/>
  </r>
  <r>
    <x v="198"/>
    <x v="113"/>
    <x v="2"/>
    <x v="7"/>
    <x v="6"/>
    <x v="23"/>
    <x v="197"/>
    <x v="0"/>
    <x v="2"/>
    <x v="2"/>
    <x v="0"/>
  </r>
  <r>
    <x v="199"/>
    <x v="114"/>
    <x v="1"/>
    <x v="9"/>
    <x v="8"/>
    <x v="4"/>
    <x v="198"/>
    <x v="0"/>
    <x v="0"/>
    <x v="0"/>
    <x v="0"/>
  </r>
  <r>
    <x v="200"/>
    <x v="115"/>
    <x v="2"/>
    <x v="5"/>
    <x v="5"/>
    <x v="42"/>
    <x v="199"/>
    <x v="0"/>
    <x v="0"/>
    <x v="0"/>
    <x v="0"/>
  </r>
  <r>
    <x v="201"/>
    <x v="115"/>
    <x v="2"/>
    <x v="5"/>
    <x v="5"/>
    <x v="13"/>
    <x v="200"/>
    <x v="0"/>
    <x v="0"/>
    <x v="0"/>
    <x v="0"/>
  </r>
  <r>
    <x v="202"/>
    <x v="116"/>
    <x v="4"/>
    <x v="4"/>
    <x v="4"/>
    <x v="55"/>
    <x v="201"/>
    <x v="1"/>
    <x v="4"/>
    <x v="4"/>
    <x v="0"/>
  </r>
  <r>
    <x v="203"/>
    <x v="117"/>
    <x v="4"/>
    <x v="8"/>
    <x v="9"/>
    <x v="43"/>
    <x v="202"/>
    <x v="0"/>
    <x v="4"/>
    <x v="4"/>
    <x v="0"/>
  </r>
  <r>
    <x v="204"/>
    <x v="117"/>
    <x v="2"/>
    <x v="7"/>
    <x v="5"/>
    <x v="56"/>
    <x v="203"/>
    <x v="0"/>
    <x v="1"/>
    <x v="1"/>
    <x v="0"/>
  </r>
  <r>
    <x v="205"/>
    <x v="117"/>
    <x v="4"/>
    <x v="4"/>
    <x v="7"/>
    <x v="51"/>
    <x v="204"/>
    <x v="0"/>
    <x v="1"/>
    <x v="1"/>
    <x v="0"/>
  </r>
  <r>
    <x v="206"/>
    <x v="118"/>
    <x v="3"/>
    <x v="3"/>
    <x v="6"/>
    <x v="11"/>
    <x v="205"/>
    <x v="0"/>
    <x v="0"/>
    <x v="0"/>
    <x v="0"/>
  </r>
  <r>
    <x v="207"/>
    <x v="118"/>
    <x v="2"/>
    <x v="2"/>
    <x v="6"/>
    <x v="3"/>
    <x v="206"/>
    <x v="0"/>
    <x v="1"/>
    <x v="1"/>
    <x v="0"/>
  </r>
  <r>
    <x v="208"/>
    <x v="118"/>
    <x v="3"/>
    <x v="3"/>
    <x v="6"/>
    <x v="11"/>
    <x v="207"/>
    <x v="0"/>
    <x v="0"/>
    <x v="0"/>
    <x v="0"/>
  </r>
  <r>
    <x v="209"/>
    <x v="118"/>
    <x v="1"/>
    <x v="1"/>
    <x v="3"/>
    <x v="15"/>
    <x v="208"/>
    <x v="0"/>
    <x v="0"/>
    <x v="0"/>
    <x v="0"/>
  </r>
  <r>
    <x v="210"/>
    <x v="118"/>
    <x v="3"/>
    <x v="3"/>
    <x v="11"/>
    <x v="51"/>
    <x v="209"/>
    <x v="1"/>
    <x v="1"/>
    <x v="1"/>
    <x v="0"/>
  </r>
  <r>
    <x v="211"/>
    <x v="119"/>
    <x v="0"/>
    <x v="10"/>
    <x v="4"/>
    <x v="6"/>
    <x v="210"/>
    <x v="0"/>
    <x v="0"/>
    <x v="0"/>
    <x v="0"/>
  </r>
  <r>
    <x v="212"/>
    <x v="119"/>
    <x v="2"/>
    <x v="2"/>
    <x v="6"/>
    <x v="14"/>
    <x v="211"/>
    <x v="0"/>
    <x v="0"/>
    <x v="0"/>
    <x v="0"/>
  </r>
  <r>
    <x v="213"/>
    <x v="119"/>
    <x v="3"/>
    <x v="6"/>
    <x v="11"/>
    <x v="49"/>
    <x v="212"/>
    <x v="0"/>
    <x v="0"/>
    <x v="0"/>
    <x v="0"/>
  </r>
  <r>
    <x v="214"/>
    <x v="119"/>
    <x v="1"/>
    <x v="9"/>
    <x v="8"/>
    <x v="8"/>
    <x v="213"/>
    <x v="0"/>
    <x v="0"/>
    <x v="0"/>
    <x v="0"/>
  </r>
  <r>
    <x v="215"/>
    <x v="120"/>
    <x v="2"/>
    <x v="7"/>
    <x v="6"/>
    <x v="53"/>
    <x v="214"/>
    <x v="0"/>
    <x v="2"/>
    <x v="2"/>
    <x v="0"/>
  </r>
  <r>
    <x v="216"/>
    <x v="121"/>
    <x v="2"/>
    <x v="2"/>
    <x v="5"/>
    <x v="20"/>
    <x v="215"/>
    <x v="0"/>
    <x v="0"/>
    <x v="0"/>
    <x v="0"/>
  </r>
  <r>
    <x v="217"/>
    <x v="122"/>
    <x v="1"/>
    <x v="1"/>
    <x v="3"/>
    <x v="5"/>
    <x v="216"/>
    <x v="0"/>
    <x v="2"/>
    <x v="2"/>
    <x v="0"/>
  </r>
  <r>
    <x v="218"/>
    <x v="122"/>
    <x v="1"/>
    <x v="9"/>
    <x v="1"/>
    <x v="25"/>
    <x v="217"/>
    <x v="1"/>
    <x v="0"/>
    <x v="0"/>
    <x v="0"/>
  </r>
  <r>
    <x v="219"/>
    <x v="123"/>
    <x v="1"/>
    <x v="9"/>
    <x v="1"/>
    <x v="22"/>
    <x v="218"/>
    <x v="0"/>
    <x v="2"/>
    <x v="2"/>
    <x v="0"/>
  </r>
  <r>
    <x v="220"/>
    <x v="123"/>
    <x v="0"/>
    <x v="10"/>
    <x v="10"/>
    <x v="11"/>
    <x v="219"/>
    <x v="0"/>
    <x v="0"/>
    <x v="0"/>
    <x v="0"/>
  </r>
  <r>
    <x v="221"/>
    <x v="123"/>
    <x v="4"/>
    <x v="8"/>
    <x v="9"/>
    <x v="49"/>
    <x v="220"/>
    <x v="0"/>
    <x v="0"/>
    <x v="0"/>
    <x v="0"/>
  </r>
  <r>
    <x v="222"/>
    <x v="124"/>
    <x v="0"/>
    <x v="0"/>
    <x v="0"/>
    <x v="14"/>
    <x v="221"/>
    <x v="0"/>
    <x v="0"/>
    <x v="0"/>
    <x v="0"/>
  </r>
  <r>
    <x v="223"/>
    <x v="125"/>
    <x v="3"/>
    <x v="3"/>
    <x v="11"/>
    <x v="6"/>
    <x v="222"/>
    <x v="0"/>
    <x v="0"/>
    <x v="0"/>
    <x v="0"/>
  </r>
  <r>
    <x v="224"/>
    <x v="126"/>
    <x v="0"/>
    <x v="0"/>
    <x v="10"/>
    <x v="44"/>
    <x v="223"/>
    <x v="0"/>
    <x v="2"/>
    <x v="2"/>
    <x v="0"/>
  </r>
  <r>
    <x v="225"/>
    <x v="126"/>
    <x v="4"/>
    <x v="8"/>
    <x v="7"/>
    <x v="57"/>
    <x v="224"/>
    <x v="0"/>
    <x v="4"/>
    <x v="4"/>
    <x v="0"/>
  </r>
  <r>
    <x v="226"/>
    <x v="126"/>
    <x v="0"/>
    <x v="0"/>
    <x v="10"/>
    <x v="27"/>
    <x v="225"/>
    <x v="1"/>
    <x v="1"/>
    <x v="1"/>
    <x v="0"/>
  </r>
  <r>
    <x v="227"/>
    <x v="127"/>
    <x v="2"/>
    <x v="2"/>
    <x v="2"/>
    <x v="56"/>
    <x v="226"/>
    <x v="0"/>
    <x v="1"/>
    <x v="1"/>
    <x v="0"/>
  </r>
  <r>
    <x v="228"/>
    <x v="128"/>
    <x v="3"/>
    <x v="3"/>
    <x v="6"/>
    <x v="15"/>
    <x v="227"/>
    <x v="0"/>
    <x v="0"/>
    <x v="0"/>
    <x v="0"/>
  </r>
  <r>
    <x v="229"/>
    <x v="129"/>
    <x v="4"/>
    <x v="4"/>
    <x v="9"/>
    <x v="21"/>
    <x v="228"/>
    <x v="0"/>
    <x v="2"/>
    <x v="2"/>
    <x v="0"/>
  </r>
  <r>
    <x v="230"/>
    <x v="130"/>
    <x v="3"/>
    <x v="3"/>
    <x v="6"/>
    <x v="5"/>
    <x v="229"/>
    <x v="0"/>
    <x v="2"/>
    <x v="2"/>
    <x v="0"/>
  </r>
  <r>
    <x v="231"/>
    <x v="131"/>
    <x v="1"/>
    <x v="9"/>
    <x v="8"/>
    <x v="32"/>
    <x v="230"/>
    <x v="1"/>
    <x v="0"/>
    <x v="0"/>
    <x v="0"/>
  </r>
  <r>
    <x v="232"/>
    <x v="132"/>
    <x v="1"/>
    <x v="1"/>
    <x v="1"/>
    <x v="34"/>
    <x v="231"/>
    <x v="0"/>
    <x v="0"/>
    <x v="0"/>
    <x v="0"/>
  </r>
  <r>
    <x v="233"/>
    <x v="133"/>
    <x v="3"/>
    <x v="3"/>
    <x v="11"/>
    <x v="34"/>
    <x v="232"/>
    <x v="0"/>
    <x v="0"/>
    <x v="0"/>
    <x v="0"/>
  </r>
  <r>
    <x v="234"/>
    <x v="134"/>
    <x v="0"/>
    <x v="0"/>
    <x v="10"/>
    <x v="6"/>
    <x v="233"/>
    <x v="0"/>
    <x v="0"/>
    <x v="0"/>
    <x v="0"/>
  </r>
  <r>
    <x v="235"/>
    <x v="134"/>
    <x v="1"/>
    <x v="1"/>
    <x v="8"/>
    <x v="45"/>
    <x v="234"/>
    <x v="0"/>
    <x v="2"/>
    <x v="2"/>
    <x v="0"/>
  </r>
  <r>
    <x v="236"/>
    <x v="134"/>
    <x v="0"/>
    <x v="10"/>
    <x v="4"/>
    <x v="13"/>
    <x v="235"/>
    <x v="0"/>
    <x v="0"/>
    <x v="0"/>
    <x v="0"/>
  </r>
  <r>
    <x v="237"/>
    <x v="135"/>
    <x v="3"/>
    <x v="6"/>
    <x v="11"/>
    <x v="39"/>
    <x v="236"/>
    <x v="0"/>
    <x v="2"/>
    <x v="2"/>
    <x v="0"/>
  </r>
  <r>
    <x v="238"/>
    <x v="136"/>
    <x v="1"/>
    <x v="1"/>
    <x v="3"/>
    <x v="38"/>
    <x v="237"/>
    <x v="0"/>
    <x v="2"/>
    <x v="2"/>
    <x v="0"/>
  </r>
  <r>
    <x v="239"/>
    <x v="136"/>
    <x v="2"/>
    <x v="5"/>
    <x v="6"/>
    <x v="52"/>
    <x v="238"/>
    <x v="0"/>
    <x v="1"/>
    <x v="1"/>
    <x v="0"/>
  </r>
  <r>
    <x v="240"/>
    <x v="137"/>
    <x v="3"/>
    <x v="6"/>
    <x v="11"/>
    <x v="42"/>
    <x v="239"/>
    <x v="0"/>
    <x v="0"/>
    <x v="0"/>
    <x v="0"/>
  </r>
  <r>
    <x v="241"/>
    <x v="137"/>
    <x v="0"/>
    <x v="0"/>
    <x v="4"/>
    <x v="58"/>
    <x v="240"/>
    <x v="1"/>
    <x v="1"/>
    <x v="1"/>
    <x v="0"/>
  </r>
  <r>
    <x v="242"/>
    <x v="137"/>
    <x v="2"/>
    <x v="5"/>
    <x v="5"/>
    <x v="14"/>
    <x v="241"/>
    <x v="0"/>
    <x v="0"/>
    <x v="0"/>
    <x v="0"/>
  </r>
  <r>
    <x v="243"/>
    <x v="138"/>
    <x v="0"/>
    <x v="10"/>
    <x v="10"/>
    <x v="35"/>
    <x v="32"/>
    <x v="0"/>
    <x v="2"/>
    <x v="2"/>
    <x v="0"/>
  </r>
  <r>
    <x v="244"/>
    <x v="139"/>
    <x v="2"/>
    <x v="5"/>
    <x v="5"/>
    <x v="32"/>
    <x v="242"/>
    <x v="0"/>
    <x v="0"/>
    <x v="0"/>
    <x v="0"/>
  </r>
  <r>
    <x v="245"/>
    <x v="140"/>
    <x v="4"/>
    <x v="8"/>
    <x v="9"/>
    <x v="22"/>
    <x v="243"/>
    <x v="0"/>
    <x v="2"/>
    <x v="2"/>
    <x v="0"/>
  </r>
  <r>
    <x v="246"/>
    <x v="141"/>
    <x v="3"/>
    <x v="6"/>
    <x v="11"/>
    <x v="5"/>
    <x v="244"/>
    <x v="0"/>
    <x v="2"/>
    <x v="2"/>
    <x v="0"/>
  </r>
  <r>
    <x v="247"/>
    <x v="142"/>
    <x v="3"/>
    <x v="6"/>
    <x v="3"/>
    <x v="17"/>
    <x v="245"/>
    <x v="0"/>
    <x v="0"/>
    <x v="0"/>
    <x v="0"/>
  </r>
  <r>
    <x v="248"/>
    <x v="143"/>
    <x v="3"/>
    <x v="6"/>
    <x v="3"/>
    <x v="16"/>
    <x v="246"/>
    <x v="0"/>
    <x v="2"/>
    <x v="2"/>
    <x v="0"/>
  </r>
  <r>
    <x v="249"/>
    <x v="143"/>
    <x v="3"/>
    <x v="3"/>
    <x v="6"/>
    <x v="4"/>
    <x v="247"/>
    <x v="0"/>
    <x v="0"/>
    <x v="0"/>
    <x v="0"/>
  </r>
  <r>
    <x v="250"/>
    <x v="144"/>
    <x v="1"/>
    <x v="1"/>
    <x v="8"/>
    <x v="12"/>
    <x v="248"/>
    <x v="0"/>
    <x v="0"/>
    <x v="0"/>
    <x v="0"/>
  </r>
  <r>
    <x v="251"/>
    <x v="145"/>
    <x v="1"/>
    <x v="9"/>
    <x v="1"/>
    <x v="1"/>
    <x v="249"/>
    <x v="1"/>
    <x v="0"/>
    <x v="0"/>
    <x v="0"/>
  </r>
  <r>
    <x v="252"/>
    <x v="146"/>
    <x v="2"/>
    <x v="5"/>
    <x v="2"/>
    <x v="52"/>
    <x v="250"/>
    <x v="0"/>
    <x v="1"/>
    <x v="1"/>
    <x v="0"/>
  </r>
  <r>
    <x v="253"/>
    <x v="147"/>
    <x v="1"/>
    <x v="9"/>
    <x v="8"/>
    <x v="15"/>
    <x v="251"/>
    <x v="0"/>
    <x v="0"/>
    <x v="0"/>
    <x v="0"/>
  </r>
  <r>
    <x v="254"/>
    <x v="147"/>
    <x v="3"/>
    <x v="3"/>
    <x v="3"/>
    <x v="0"/>
    <x v="252"/>
    <x v="0"/>
    <x v="0"/>
    <x v="0"/>
    <x v="0"/>
  </r>
  <r>
    <x v="255"/>
    <x v="148"/>
    <x v="1"/>
    <x v="1"/>
    <x v="1"/>
    <x v="35"/>
    <x v="253"/>
    <x v="0"/>
    <x v="2"/>
    <x v="2"/>
    <x v="0"/>
  </r>
  <r>
    <x v="256"/>
    <x v="149"/>
    <x v="1"/>
    <x v="9"/>
    <x v="8"/>
    <x v="6"/>
    <x v="254"/>
    <x v="0"/>
    <x v="0"/>
    <x v="0"/>
    <x v="0"/>
  </r>
  <r>
    <x v="257"/>
    <x v="149"/>
    <x v="3"/>
    <x v="3"/>
    <x v="11"/>
    <x v="33"/>
    <x v="255"/>
    <x v="0"/>
    <x v="2"/>
    <x v="2"/>
    <x v="0"/>
  </r>
  <r>
    <x v="258"/>
    <x v="150"/>
    <x v="0"/>
    <x v="0"/>
    <x v="10"/>
    <x v="17"/>
    <x v="256"/>
    <x v="0"/>
    <x v="0"/>
    <x v="0"/>
    <x v="0"/>
  </r>
  <r>
    <x v="259"/>
    <x v="151"/>
    <x v="3"/>
    <x v="6"/>
    <x v="11"/>
    <x v="6"/>
    <x v="257"/>
    <x v="0"/>
    <x v="0"/>
    <x v="0"/>
    <x v="0"/>
  </r>
  <r>
    <x v="260"/>
    <x v="152"/>
    <x v="0"/>
    <x v="10"/>
    <x v="10"/>
    <x v="34"/>
    <x v="258"/>
    <x v="0"/>
    <x v="0"/>
    <x v="0"/>
    <x v="0"/>
  </r>
  <r>
    <x v="261"/>
    <x v="153"/>
    <x v="2"/>
    <x v="7"/>
    <x v="2"/>
    <x v="36"/>
    <x v="259"/>
    <x v="0"/>
    <x v="1"/>
    <x v="1"/>
    <x v="0"/>
  </r>
  <r>
    <x v="262"/>
    <x v="153"/>
    <x v="2"/>
    <x v="5"/>
    <x v="5"/>
    <x v="6"/>
    <x v="260"/>
    <x v="0"/>
    <x v="0"/>
    <x v="0"/>
    <x v="0"/>
  </r>
  <r>
    <x v="263"/>
    <x v="153"/>
    <x v="2"/>
    <x v="2"/>
    <x v="5"/>
    <x v="49"/>
    <x v="261"/>
    <x v="0"/>
    <x v="0"/>
    <x v="0"/>
    <x v="0"/>
  </r>
  <r>
    <x v="264"/>
    <x v="153"/>
    <x v="4"/>
    <x v="8"/>
    <x v="9"/>
    <x v="50"/>
    <x v="262"/>
    <x v="0"/>
    <x v="4"/>
    <x v="4"/>
    <x v="0"/>
  </r>
  <r>
    <x v="265"/>
    <x v="154"/>
    <x v="2"/>
    <x v="7"/>
    <x v="5"/>
    <x v="25"/>
    <x v="263"/>
    <x v="0"/>
    <x v="0"/>
    <x v="0"/>
    <x v="0"/>
  </r>
  <r>
    <x v="266"/>
    <x v="155"/>
    <x v="2"/>
    <x v="2"/>
    <x v="5"/>
    <x v="49"/>
    <x v="264"/>
    <x v="0"/>
    <x v="0"/>
    <x v="0"/>
    <x v="0"/>
  </r>
  <r>
    <x v="267"/>
    <x v="155"/>
    <x v="3"/>
    <x v="3"/>
    <x v="11"/>
    <x v="26"/>
    <x v="265"/>
    <x v="1"/>
    <x v="1"/>
    <x v="1"/>
    <x v="0"/>
  </r>
  <r>
    <x v="268"/>
    <x v="156"/>
    <x v="2"/>
    <x v="7"/>
    <x v="6"/>
    <x v="20"/>
    <x v="266"/>
    <x v="0"/>
    <x v="0"/>
    <x v="0"/>
    <x v="0"/>
  </r>
  <r>
    <x v="269"/>
    <x v="157"/>
    <x v="3"/>
    <x v="6"/>
    <x v="11"/>
    <x v="19"/>
    <x v="267"/>
    <x v="0"/>
    <x v="0"/>
    <x v="0"/>
    <x v="0"/>
  </r>
  <r>
    <x v="270"/>
    <x v="158"/>
    <x v="2"/>
    <x v="7"/>
    <x v="2"/>
    <x v="11"/>
    <x v="268"/>
    <x v="0"/>
    <x v="0"/>
    <x v="0"/>
    <x v="0"/>
  </r>
  <r>
    <x v="271"/>
    <x v="159"/>
    <x v="1"/>
    <x v="9"/>
    <x v="8"/>
    <x v="33"/>
    <x v="269"/>
    <x v="0"/>
    <x v="2"/>
    <x v="2"/>
    <x v="0"/>
  </r>
  <r>
    <x v="272"/>
    <x v="160"/>
    <x v="1"/>
    <x v="1"/>
    <x v="1"/>
    <x v="34"/>
    <x v="270"/>
    <x v="0"/>
    <x v="0"/>
    <x v="0"/>
    <x v="0"/>
  </r>
  <r>
    <x v="273"/>
    <x v="160"/>
    <x v="2"/>
    <x v="2"/>
    <x v="2"/>
    <x v="13"/>
    <x v="271"/>
    <x v="0"/>
    <x v="0"/>
    <x v="0"/>
    <x v="0"/>
  </r>
  <r>
    <x v="274"/>
    <x v="160"/>
    <x v="2"/>
    <x v="2"/>
    <x v="6"/>
    <x v="20"/>
    <x v="272"/>
    <x v="0"/>
    <x v="0"/>
    <x v="0"/>
    <x v="0"/>
  </r>
  <r>
    <x v="275"/>
    <x v="160"/>
    <x v="2"/>
    <x v="7"/>
    <x v="5"/>
    <x v="27"/>
    <x v="273"/>
    <x v="0"/>
    <x v="1"/>
    <x v="1"/>
    <x v="0"/>
  </r>
  <r>
    <x v="276"/>
    <x v="161"/>
    <x v="2"/>
    <x v="7"/>
    <x v="6"/>
    <x v="45"/>
    <x v="274"/>
    <x v="0"/>
    <x v="2"/>
    <x v="2"/>
    <x v="0"/>
  </r>
  <r>
    <x v="277"/>
    <x v="162"/>
    <x v="2"/>
    <x v="5"/>
    <x v="2"/>
    <x v="56"/>
    <x v="275"/>
    <x v="0"/>
    <x v="1"/>
    <x v="1"/>
    <x v="0"/>
  </r>
  <r>
    <x v="278"/>
    <x v="163"/>
    <x v="0"/>
    <x v="10"/>
    <x v="0"/>
    <x v="11"/>
    <x v="276"/>
    <x v="0"/>
    <x v="0"/>
    <x v="0"/>
    <x v="0"/>
  </r>
  <r>
    <x v="279"/>
    <x v="163"/>
    <x v="2"/>
    <x v="5"/>
    <x v="6"/>
    <x v="59"/>
    <x v="277"/>
    <x v="1"/>
    <x v="4"/>
    <x v="4"/>
    <x v="0"/>
  </r>
  <r>
    <x v="280"/>
    <x v="164"/>
    <x v="0"/>
    <x v="10"/>
    <x v="10"/>
    <x v="6"/>
    <x v="278"/>
    <x v="0"/>
    <x v="0"/>
    <x v="0"/>
    <x v="0"/>
  </r>
  <r>
    <x v="281"/>
    <x v="164"/>
    <x v="1"/>
    <x v="1"/>
    <x v="8"/>
    <x v="35"/>
    <x v="279"/>
    <x v="0"/>
    <x v="2"/>
    <x v="2"/>
    <x v="0"/>
  </r>
  <r>
    <x v="282"/>
    <x v="164"/>
    <x v="2"/>
    <x v="5"/>
    <x v="2"/>
    <x v="34"/>
    <x v="280"/>
    <x v="0"/>
    <x v="0"/>
    <x v="0"/>
    <x v="0"/>
  </r>
  <r>
    <x v="283"/>
    <x v="165"/>
    <x v="4"/>
    <x v="8"/>
    <x v="7"/>
    <x v="60"/>
    <x v="281"/>
    <x v="0"/>
    <x v="1"/>
    <x v="1"/>
    <x v="0"/>
  </r>
  <r>
    <x v="284"/>
    <x v="166"/>
    <x v="0"/>
    <x v="10"/>
    <x v="10"/>
    <x v="4"/>
    <x v="282"/>
    <x v="0"/>
    <x v="0"/>
    <x v="0"/>
    <x v="0"/>
  </r>
  <r>
    <x v="285"/>
    <x v="166"/>
    <x v="2"/>
    <x v="7"/>
    <x v="2"/>
    <x v="40"/>
    <x v="283"/>
    <x v="0"/>
    <x v="1"/>
    <x v="1"/>
    <x v="0"/>
  </r>
  <r>
    <x v="286"/>
    <x v="166"/>
    <x v="3"/>
    <x v="6"/>
    <x v="6"/>
    <x v="19"/>
    <x v="284"/>
    <x v="0"/>
    <x v="0"/>
    <x v="0"/>
    <x v="0"/>
  </r>
  <r>
    <x v="287"/>
    <x v="167"/>
    <x v="4"/>
    <x v="8"/>
    <x v="7"/>
    <x v="61"/>
    <x v="285"/>
    <x v="1"/>
    <x v="4"/>
    <x v="4"/>
    <x v="0"/>
  </r>
  <r>
    <x v="288"/>
    <x v="167"/>
    <x v="0"/>
    <x v="10"/>
    <x v="0"/>
    <x v="33"/>
    <x v="286"/>
    <x v="0"/>
    <x v="2"/>
    <x v="2"/>
    <x v="0"/>
  </r>
  <r>
    <x v="289"/>
    <x v="167"/>
    <x v="2"/>
    <x v="2"/>
    <x v="2"/>
    <x v="36"/>
    <x v="287"/>
    <x v="0"/>
    <x v="1"/>
    <x v="1"/>
    <x v="0"/>
  </r>
  <r>
    <x v="290"/>
    <x v="168"/>
    <x v="2"/>
    <x v="2"/>
    <x v="6"/>
    <x v="19"/>
    <x v="288"/>
    <x v="0"/>
    <x v="0"/>
    <x v="0"/>
    <x v="0"/>
  </r>
  <r>
    <x v="291"/>
    <x v="168"/>
    <x v="1"/>
    <x v="9"/>
    <x v="1"/>
    <x v="0"/>
    <x v="289"/>
    <x v="0"/>
    <x v="0"/>
    <x v="0"/>
    <x v="0"/>
  </r>
  <r>
    <x v="292"/>
    <x v="169"/>
    <x v="3"/>
    <x v="6"/>
    <x v="3"/>
    <x v="38"/>
    <x v="290"/>
    <x v="0"/>
    <x v="2"/>
    <x v="2"/>
    <x v="0"/>
  </r>
  <r>
    <x v="293"/>
    <x v="170"/>
    <x v="4"/>
    <x v="8"/>
    <x v="4"/>
    <x v="62"/>
    <x v="291"/>
    <x v="1"/>
    <x v="4"/>
    <x v="4"/>
    <x v="0"/>
  </r>
  <r>
    <x v="294"/>
    <x v="171"/>
    <x v="3"/>
    <x v="3"/>
    <x v="6"/>
    <x v="38"/>
    <x v="292"/>
    <x v="0"/>
    <x v="2"/>
    <x v="2"/>
    <x v="0"/>
  </r>
  <r>
    <x v="295"/>
    <x v="172"/>
    <x v="1"/>
    <x v="9"/>
    <x v="8"/>
    <x v="5"/>
    <x v="293"/>
    <x v="0"/>
    <x v="2"/>
    <x v="2"/>
    <x v="0"/>
  </r>
  <r>
    <x v="296"/>
    <x v="173"/>
    <x v="2"/>
    <x v="2"/>
    <x v="2"/>
    <x v="34"/>
    <x v="294"/>
    <x v="0"/>
    <x v="0"/>
    <x v="0"/>
    <x v="0"/>
  </r>
  <r>
    <x v="297"/>
    <x v="173"/>
    <x v="2"/>
    <x v="5"/>
    <x v="5"/>
    <x v="4"/>
    <x v="295"/>
    <x v="0"/>
    <x v="0"/>
    <x v="0"/>
    <x v="0"/>
  </r>
  <r>
    <x v="298"/>
    <x v="174"/>
    <x v="2"/>
    <x v="2"/>
    <x v="2"/>
    <x v="11"/>
    <x v="296"/>
    <x v="0"/>
    <x v="0"/>
    <x v="0"/>
    <x v="0"/>
  </r>
  <r>
    <x v="299"/>
    <x v="174"/>
    <x v="3"/>
    <x v="3"/>
    <x v="6"/>
    <x v="18"/>
    <x v="297"/>
    <x v="0"/>
    <x v="0"/>
    <x v="0"/>
    <x v="0"/>
  </r>
  <r>
    <x v="300"/>
    <x v="174"/>
    <x v="1"/>
    <x v="9"/>
    <x v="8"/>
    <x v="12"/>
    <x v="134"/>
    <x v="0"/>
    <x v="0"/>
    <x v="0"/>
    <x v="0"/>
  </r>
  <r>
    <x v="301"/>
    <x v="175"/>
    <x v="1"/>
    <x v="1"/>
    <x v="3"/>
    <x v="4"/>
    <x v="298"/>
    <x v="0"/>
    <x v="0"/>
    <x v="0"/>
    <x v="0"/>
  </r>
  <r>
    <x v="302"/>
    <x v="176"/>
    <x v="2"/>
    <x v="2"/>
    <x v="2"/>
    <x v="10"/>
    <x v="299"/>
    <x v="0"/>
    <x v="0"/>
    <x v="0"/>
    <x v="0"/>
  </r>
  <r>
    <x v="303"/>
    <x v="176"/>
    <x v="3"/>
    <x v="3"/>
    <x v="11"/>
    <x v="49"/>
    <x v="300"/>
    <x v="0"/>
    <x v="0"/>
    <x v="0"/>
    <x v="0"/>
  </r>
  <r>
    <x v="304"/>
    <x v="177"/>
    <x v="2"/>
    <x v="2"/>
    <x v="2"/>
    <x v="53"/>
    <x v="301"/>
    <x v="0"/>
    <x v="2"/>
    <x v="2"/>
    <x v="0"/>
  </r>
  <r>
    <x v="305"/>
    <x v="178"/>
    <x v="2"/>
    <x v="7"/>
    <x v="5"/>
    <x v="34"/>
    <x v="302"/>
    <x v="0"/>
    <x v="0"/>
    <x v="0"/>
    <x v="0"/>
  </r>
  <r>
    <x v="306"/>
    <x v="178"/>
    <x v="2"/>
    <x v="2"/>
    <x v="2"/>
    <x v="15"/>
    <x v="303"/>
    <x v="0"/>
    <x v="0"/>
    <x v="0"/>
    <x v="0"/>
  </r>
  <r>
    <x v="307"/>
    <x v="178"/>
    <x v="3"/>
    <x v="6"/>
    <x v="11"/>
    <x v="15"/>
    <x v="304"/>
    <x v="0"/>
    <x v="0"/>
    <x v="0"/>
    <x v="0"/>
  </r>
  <r>
    <x v="308"/>
    <x v="179"/>
    <x v="3"/>
    <x v="6"/>
    <x v="6"/>
    <x v="17"/>
    <x v="305"/>
    <x v="0"/>
    <x v="0"/>
    <x v="0"/>
    <x v="0"/>
  </r>
  <r>
    <x v="309"/>
    <x v="179"/>
    <x v="2"/>
    <x v="2"/>
    <x v="6"/>
    <x v="14"/>
    <x v="306"/>
    <x v="0"/>
    <x v="0"/>
    <x v="0"/>
    <x v="0"/>
  </r>
  <r>
    <x v="310"/>
    <x v="180"/>
    <x v="4"/>
    <x v="4"/>
    <x v="9"/>
    <x v="8"/>
    <x v="307"/>
    <x v="0"/>
    <x v="0"/>
    <x v="0"/>
    <x v="0"/>
  </r>
  <r>
    <x v="311"/>
    <x v="180"/>
    <x v="0"/>
    <x v="10"/>
    <x v="4"/>
    <x v="10"/>
    <x v="308"/>
    <x v="0"/>
    <x v="0"/>
    <x v="0"/>
    <x v="0"/>
  </r>
  <r>
    <x v="312"/>
    <x v="181"/>
    <x v="3"/>
    <x v="6"/>
    <x v="6"/>
    <x v="45"/>
    <x v="309"/>
    <x v="0"/>
    <x v="2"/>
    <x v="2"/>
    <x v="0"/>
  </r>
  <r>
    <x v="313"/>
    <x v="181"/>
    <x v="0"/>
    <x v="0"/>
    <x v="4"/>
    <x v="42"/>
    <x v="310"/>
    <x v="0"/>
    <x v="0"/>
    <x v="0"/>
    <x v="0"/>
  </r>
  <r>
    <x v="314"/>
    <x v="182"/>
    <x v="1"/>
    <x v="9"/>
    <x v="8"/>
    <x v="0"/>
    <x v="311"/>
    <x v="0"/>
    <x v="0"/>
    <x v="0"/>
    <x v="0"/>
  </r>
  <r>
    <x v="315"/>
    <x v="182"/>
    <x v="3"/>
    <x v="3"/>
    <x v="3"/>
    <x v="10"/>
    <x v="312"/>
    <x v="0"/>
    <x v="0"/>
    <x v="0"/>
    <x v="0"/>
  </r>
  <r>
    <x v="316"/>
    <x v="183"/>
    <x v="3"/>
    <x v="3"/>
    <x v="3"/>
    <x v="35"/>
    <x v="313"/>
    <x v="0"/>
    <x v="2"/>
    <x v="2"/>
    <x v="0"/>
  </r>
  <r>
    <x v="317"/>
    <x v="184"/>
    <x v="2"/>
    <x v="5"/>
    <x v="2"/>
    <x v="6"/>
    <x v="314"/>
    <x v="0"/>
    <x v="0"/>
    <x v="0"/>
    <x v="0"/>
  </r>
  <r>
    <x v="318"/>
    <x v="184"/>
    <x v="1"/>
    <x v="1"/>
    <x v="3"/>
    <x v="34"/>
    <x v="315"/>
    <x v="0"/>
    <x v="0"/>
    <x v="0"/>
    <x v="0"/>
  </r>
  <r>
    <x v="319"/>
    <x v="184"/>
    <x v="1"/>
    <x v="1"/>
    <x v="8"/>
    <x v="16"/>
    <x v="316"/>
    <x v="0"/>
    <x v="2"/>
    <x v="2"/>
    <x v="0"/>
  </r>
  <r>
    <x v="320"/>
    <x v="185"/>
    <x v="2"/>
    <x v="5"/>
    <x v="2"/>
    <x v="1"/>
    <x v="317"/>
    <x v="0"/>
    <x v="0"/>
    <x v="0"/>
    <x v="0"/>
  </r>
  <r>
    <x v="321"/>
    <x v="186"/>
    <x v="4"/>
    <x v="4"/>
    <x v="9"/>
    <x v="26"/>
    <x v="318"/>
    <x v="0"/>
    <x v="1"/>
    <x v="1"/>
    <x v="0"/>
  </r>
  <r>
    <x v="322"/>
    <x v="187"/>
    <x v="4"/>
    <x v="4"/>
    <x v="9"/>
    <x v="63"/>
    <x v="319"/>
    <x v="1"/>
    <x v="3"/>
    <x v="3"/>
    <x v="0"/>
  </r>
  <r>
    <x v="323"/>
    <x v="188"/>
    <x v="1"/>
    <x v="9"/>
    <x v="1"/>
    <x v="28"/>
    <x v="320"/>
    <x v="0"/>
    <x v="2"/>
    <x v="2"/>
    <x v="0"/>
  </r>
  <r>
    <x v="324"/>
    <x v="189"/>
    <x v="3"/>
    <x v="6"/>
    <x v="3"/>
    <x v="18"/>
    <x v="321"/>
    <x v="0"/>
    <x v="0"/>
    <x v="0"/>
    <x v="0"/>
  </r>
  <r>
    <x v="325"/>
    <x v="189"/>
    <x v="4"/>
    <x v="8"/>
    <x v="7"/>
    <x v="11"/>
    <x v="322"/>
    <x v="0"/>
    <x v="0"/>
    <x v="0"/>
    <x v="0"/>
  </r>
  <r>
    <x v="326"/>
    <x v="189"/>
    <x v="2"/>
    <x v="2"/>
    <x v="2"/>
    <x v="56"/>
    <x v="323"/>
    <x v="0"/>
    <x v="1"/>
    <x v="1"/>
    <x v="0"/>
  </r>
  <r>
    <x v="327"/>
    <x v="190"/>
    <x v="0"/>
    <x v="0"/>
    <x v="4"/>
    <x v="22"/>
    <x v="324"/>
    <x v="0"/>
    <x v="2"/>
    <x v="2"/>
    <x v="0"/>
  </r>
  <r>
    <x v="328"/>
    <x v="190"/>
    <x v="2"/>
    <x v="2"/>
    <x v="6"/>
    <x v="43"/>
    <x v="325"/>
    <x v="1"/>
    <x v="4"/>
    <x v="4"/>
    <x v="0"/>
  </r>
  <r>
    <x v="329"/>
    <x v="191"/>
    <x v="2"/>
    <x v="2"/>
    <x v="5"/>
    <x v="57"/>
    <x v="326"/>
    <x v="1"/>
    <x v="4"/>
    <x v="4"/>
    <x v="0"/>
  </r>
  <r>
    <x v="330"/>
    <x v="192"/>
    <x v="2"/>
    <x v="7"/>
    <x v="2"/>
    <x v="53"/>
    <x v="327"/>
    <x v="0"/>
    <x v="2"/>
    <x v="2"/>
    <x v="0"/>
  </r>
  <r>
    <x v="331"/>
    <x v="193"/>
    <x v="2"/>
    <x v="5"/>
    <x v="5"/>
    <x v="37"/>
    <x v="328"/>
    <x v="1"/>
    <x v="4"/>
    <x v="4"/>
    <x v="0"/>
  </r>
  <r>
    <x v="332"/>
    <x v="194"/>
    <x v="3"/>
    <x v="3"/>
    <x v="6"/>
    <x v="4"/>
    <x v="329"/>
    <x v="0"/>
    <x v="0"/>
    <x v="0"/>
    <x v="0"/>
  </r>
  <r>
    <x v="333"/>
    <x v="194"/>
    <x v="0"/>
    <x v="0"/>
    <x v="10"/>
    <x v="18"/>
    <x v="330"/>
    <x v="0"/>
    <x v="0"/>
    <x v="0"/>
    <x v="0"/>
  </r>
  <r>
    <x v="334"/>
    <x v="195"/>
    <x v="2"/>
    <x v="2"/>
    <x v="5"/>
    <x v="32"/>
    <x v="331"/>
    <x v="0"/>
    <x v="0"/>
    <x v="0"/>
    <x v="0"/>
  </r>
  <r>
    <x v="335"/>
    <x v="195"/>
    <x v="4"/>
    <x v="4"/>
    <x v="9"/>
    <x v="0"/>
    <x v="332"/>
    <x v="0"/>
    <x v="0"/>
    <x v="0"/>
    <x v="0"/>
  </r>
  <r>
    <x v="336"/>
    <x v="195"/>
    <x v="3"/>
    <x v="3"/>
    <x v="3"/>
    <x v="10"/>
    <x v="333"/>
    <x v="0"/>
    <x v="0"/>
    <x v="0"/>
    <x v="0"/>
  </r>
  <r>
    <x v="337"/>
    <x v="195"/>
    <x v="3"/>
    <x v="3"/>
    <x v="6"/>
    <x v="20"/>
    <x v="334"/>
    <x v="0"/>
    <x v="0"/>
    <x v="0"/>
    <x v="0"/>
  </r>
  <r>
    <x v="338"/>
    <x v="196"/>
    <x v="0"/>
    <x v="0"/>
    <x v="10"/>
    <x v="25"/>
    <x v="335"/>
    <x v="0"/>
    <x v="0"/>
    <x v="0"/>
    <x v="0"/>
  </r>
  <r>
    <x v="339"/>
    <x v="197"/>
    <x v="3"/>
    <x v="3"/>
    <x v="6"/>
    <x v="21"/>
    <x v="336"/>
    <x v="0"/>
    <x v="2"/>
    <x v="2"/>
    <x v="0"/>
  </r>
  <r>
    <x v="340"/>
    <x v="198"/>
    <x v="2"/>
    <x v="2"/>
    <x v="5"/>
    <x v="42"/>
    <x v="337"/>
    <x v="0"/>
    <x v="0"/>
    <x v="0"/>
    <x v="0"/>
  </r>
  <r>
    <x v="341"/>
    <x v="198"/>
    <x v="3"/>
    <x v="3"/>
    <x v="6"/>
    <x v="36"/>
    <x v="338"/>
    <x v="1"/>
    <x v="1"/>
    <x v="1"/>
    <x v="0"/>
  </r>
  <r>
    <x v="342"/>
    <x v="198"/>
    <x v="4"/>
    <x v="8"/>
    <x v="7"/>
    <x v="19"/>
    <x v="339"/>
    <x v="0"/>
    <x v="0"/>
    <x v="0"/>
    <x v="0"/>
  </r>
  <r>
    <x v="343"/>
    <x v="199"/>
    <x v="3"/>
    <x v="3"/>
    <x v="11"/>
    <x v="11"/>
    <x v="340"/>
    <x v="0"/>
    <x v="0"/>
    <x v="0"/>
    <x v="0"/>
  </r>
  <r>
    <x v="344"/>
    <x v="199"/>
    <x v="0"/>
    <x v="10"/>
    <x v="4"/>
    <x v="4"/>
    <x v="341"/>
    <x v="0"/>
    <x v="0"/>
    <x v="0"/>
    <x v="0"/>
  </r>
  <r>
    <x v="345"/>
    <x v="199"/>
    <x v="4"/>
    <x v="8"/>
    <x v="9"/>
    <x v="64"/>
    <x v="342"/>
    <x v="1"/>
    <x v="3"/>
    <x v="3"/>
    <x v="0"/>
  </r>
  <r>
    <x v="346"/>
    <x v="200"/>
    <x v="2"/>
    <x v="7"/>
    <x v="6"/>
    <x v="65"/>
    <x v="343"/>
    <x v="1"/>
    <x v="1"/>
    <x v="1"/>
    <x v="0"/>
  </r>
  <r>
    <x v="347"/>
    <x v="200"/>
    <x v="3"/>
    <x v="6"/>
    <x v="6"/>
    <x v="42"/>
    <x v="344"/>
    <x v="0"/>
    <x v="0"/>
    <x v="0"/>
    <x v="0"/>
  </r>
  <r>
    <x v="348"/>
    <x v="201"/>
    <x v="1"/>
    <x v="1"/>
    <x v="3"/>
    <x v="35"/>
    <x v="345"/>
    <x v="0"/>
    <x v="2"/>
    <x v="2"/>
    <x v="0"/>
  </r>
  <r>
    <x v="349"/>
    <x v="202"/>
    <x v="4"/>
    <x v="4"/>
    <x v="7"/>
    <x v="15"/>
    <x v="346"/>
    <x v="0"/>
    <x v="0"/>
    <x v="0"/>
    <x v="0"/>
  </r>
  <r>
    <x v="350"/>
    <x v="203"/>
    <x v="4"/>
    <x v="8"/>
    <x v="7"/>
    <x v="60"/>
    <x v="347"/>
    <x v="0"/>
    <x v="1"/>
    <x v="1"/>
    <x v="0"/>
  </r>
  <r>
    <x v="351"/>
    <x v="203"/>
    <x v="0"/>
    <x v="10"/>
    <x v="10"/>
    <x v="8"/>
    <x v="18"/>
    <x v="0"/>
    <x v="0"/>
    <x v="0"/>
    <x v="0"/>
  </r>
  <r>
    <x v="352"/>
    <x v="203"/>
    <x v="3"/>
    <x v="6"/>
    <x v="3"/>
    <x v="10"/>
    <x v="348"/>
    <x v="0"/>
    <x v="0"/>
    <x v="0"/>
    <x v="0"/>
  </r>
  <r>
    <x v="353"/>
    <x v="203"/>
    <x v="1"/>
    <x v="1"/>
    <x v="8"/>
    <x v="44"/>
    <x v="349"/>
    <x v="0"/>
    <x v="2"/>
    <x v="2"/>
    <x v="0"/>
  </r>
  <r>
    <x v="354"/>
    <x v="204"/>
    <x v="4"/>
    <x v="4"/>
    <x v="7"/>
    <x v="20"/>
    <x v="350"/>
    <x v="0"/>
    <x v="0"/>
    <x v="0"/>
    <x v="0"/>
  </r>
  <r>
    <x v="355"/>
    <x v="204"/>
    <x v="0"/>
    <x v="0"/>
    <x v="10"/>
    <x v="20"/>
    <x v="351"/>
    <x v="0"/>
    <x v="0"/>
    <x v="0"/>
    <x v="0"/>
  </r>
  <r>
    <x v="356"/>
    <x v="204"/>
    <x v="1"/>
    <x v="1"/>
    <x v="1"/>
    <x v="11"/>
    <x v="352"/>
    <x v="0"/>
    <x v="0"/>
    <x v="0"/>
    <x v="0"/>
  </r>
  <r>
    <x v="357"/>
    <x v="205"/>
    <x v="1"/>
    <x v="9"/>
    <x v="8"/>
    <x v="11"/>
    <x v="353"/>
    <x v="0"/>
    <x v="0"/>
    <x v="0"/>
    <x v="0"/>
  </r>
  <r>
    <x v="358"/>
    <x v="206"/>
    <x v="2"/>
    <x v="7"/>
    <x v="5"/>
    <x v="49"/>
    <x v="354"/>
    <x v="0"/>
    <x v="0"/>
    <x v="0"/>
    <x v="0"/>
  </r>
  <r>
    <x v="359"/>
    <x v="206"/>
    <x v="1"/>
    <x v="1"/>
    <x v="8"/>
    <x v="12"/>
    <x v="355"/>
    <x v="0"/>
    <x v="0"/>
    <x v="0"/>
    <x v="0"/>
  </r>
  <r>
    <x v="360"/>
    <x v="206"/>
    <x v="4"/>
    <x v="8"/>
    <x v="9"/>
    <x v="66"/>
    <x v="356"/>
    <x v="1"/>
    <x v="4"/>
    <x v="4"/>
    <x v="0"/>
  </r>
  <r>
    <x v="361"/>
    <x v="207"/>
    <x v="2"/>
    <x v="5"/>
    <x v="2"/>
    <x v="29"/>
    <x v="357"/>
    <x v="1"/>
    <x v="1"/>
    <x v="1"/>
    <x v="0"/>
  </r>
  <r>
    <x v="362"/>
    <x v="207"/>
    <x v="2"/>
    <x v="7"/>
    <x v="5"/>
    <x v="4"/>
    <x v="358"/>
    <x v="0"/>
    <x v="0"/>
    <x v="0"/>
    <x v="0"/>
  </r>
  <r>
    <x v="363"/>
    <x v="208"/>
    <x v="4"/>
    <x v="4"/>
    <x v="7"/>
    <x v="7"/>
    <x v="359"/>
    <x v="0"/>
    <x v="1"/>
    <x v="1"/>
    <x v="0"/>
  </r>
  <r>
    <x v="364"/>
    <x v="208"/>
    <x v="2"/>
    <x v="2"/>
    <x v="5"/>
    <x v="51"/>
    <x v="360"/>
    <x v="0"/>
    <x v="1"/>
    <x v="1"/>
    <x v="0"/>
  </r>
  <r>
    <x v="365"/>
    <x v="209"/>
    <x v="2"/>
    <x v="5"/>
    <x v="2"/>
    <x v="37"/>
    <x v="361"/>
    <x v="1"/>
    <x v="4"/>
    <x v="4"/>
    <x v="0"/>
  </r>
  <r>
    <x v="366"/>
    <x v="210"/>
    <x v="2"/>
    <x v="5"/>
    <x v="6"/>
    <x v="9"/>
    <x v="362"/>
    <x v="1"/>
    <x v="1"/>
    <x v="1"/>
    <x v="0"/>
  </r>
  <r>
    <x v="367"/>
    <x v="210"/>
    <x v="3"/>
    <x v="3"/>
    <x v="6"/>
    <x v="0"/>
    <x v="363"/>
    <x v="0"/>
    <x v="0"/>
    <x v="0"/>
    <x v="0"/>
  </r>
  <r>
    <x v="368"/>
    <x v="211"/>
    <x v="1"/>
    <x v="1"/>
    <x v="8"/>
    <x v="20"/>
    <x v="364"/>
    <x v="1"/>
    <x v="0"/>
    <x v="0"/>
    <x v="0"/>
  </r>
  <r>
    <x v="369"/>
    <x v="212"/>
    <x v="2"/>
    <x v="5"/>
    <x v="6"/>
    <x v="33"/>
    <x v="365"/>
    <x v="0"/>
    <x v="2"/>
    <x v="2"/>
    <x v="0"/>
  </r>
  <r>
    <x v="370"/>
    <x v="213"/>
    <x v="3"/>
    <x v="3"/>
    <x v="6"/>
    <x v="18"/>
    <x v="366"/>
    <x v="0"/>
    <x v="0"/>
    <x v="0"/>
    <x v="0"/>
  </r>
  <r>
    <x v="371"/>
    <x v="214"/>
    <x v="4"/>
    <x v="8"/>
    <x v="4"/>
    <x v="49"/>
    <x v="367"/>
    <x v="0"/>
    <x v="0"/>
    <x v="0"/>
    <x v="0"/>
  </r>
  <r>
    <x v="372"/>
    <x v="215"/>
    <x v="2"/>
    <x v="7"/>
    <x v="6"/>
    <x v="20"/>
    <x v="368"/>
    <x v="0"/>
    <x v="0"/>
    <x v="0"/>
    <x v="0"/>
  </r>
  <r>
    <x v="373"/>
    <x v="215"/>
    <x v="1"/>
    <x v="1"/>
    <x v="3"/>
    <x v="22"/>
    <x v="369"/>
    <x v="0"/>
    <x v="2"/>
    <x v="2"/>
    <x v="0"/>
  </r>
  <r>
    <x v="374"/>
    <x v="216"/>
    <x v="4"/>
    <x v="4"/>
    <x v="7"/>
    <x v="19"/>
    <x v="370"/>
    <x v="0"/>
    <x v="0"/>
    <x v="0"/>
    <x v="0"/>
  </r>
  <r>
    <x v="375"/>
    <x v="216"/>
    <x v="0"/>
    <x v="10"/>
    <x v="4"/>
    <x v="65"/>
    <x v="371"/>
    <x v="1"/>
    <x v="1"/>
    <x v="1"/>
    <x v="0"/>
  </r>
  <r>
    <x v="376"/>
    <x v="217"/>
    <x v="0"/>
    <x v="0"/>
    <x v="10"/>
    <x v="67"/>
    <x v="372"/>
    <x v="1"/>
    <x v="1"/>
    <x v="1"/>
    <x v="0"/>
  </r>
  <r>
    <x v="377"/>
    <x v="217"/>
    <x v="1"/>
    <x v="9"/>
    <x v="8"/>
    <x v="13"/>
    <x v="373"/>
    <x v="1"/>
    <x v="0"/>
    <x v="0"/>
    <x v="0"/>
  </r>
  <r>
    <x v="378"/>
    <x v="218"/>
    <x v="3"/>
    <x v="6"/>
    <x v="6"/>
    <x v="0"/>
    <x v="374"/>
    <x v="0"/>
    <x v="0"/>
    <x v="0"/>
    <x v="0"/>
  </r>
  <r>
    <x v="379"/>
    <x v="219"/>
    <x v="1"/>
    <x v="9"/>
    <x v="8"/>
    <x v="21"/>
    <x v="375"/>
    <x v="0"/>
    <x v="2"/>
    <x v="2"/>
    <x v="0"/>
  </r>
  <r>
    <x v="380"/>
    <x v="220"/>
    <x v="4"/>
    <x v="8"/>
    <x v="9"/>
    <x v="13"/>
    <x v="376"/>
    <x v="0"/>
    <x v="0"/>
    <x v="0"/>
    <x v="0"/>
  </r>
  <r>
    <x v="381"/>
    <x v="221"/>
    <x v="2"/>
    <x v="5"/>
    <x v="6"/>
    <x v="51"/>
    <x v="377"/>
    <x v="0"/>
    <x v="1"/>
    <x v="1"/>
    <x v="0"/>
  </r>
  <r>
    <x v="382"/>
    <x v="221"/>
    <x v="2"/>
    <x v="7"/>
    <x v="2"/>
    <x v="55"/>
    <x v="378"/>
    <x v="1"/>
    <x v="4"/>
    <x v="4"/>
    <x v="0"/>
  </r>
  <r>
    <x v="383"/>
    <x v="221"/>
    <x v="2"/>
    <x v="7"/>
    <x v="5"/>
    <x v="53"/>
    <x v="379"/>
    <x v="0"/>
    <x v="2"/>
    <x v="2"/>
    <x v="0"/>
  </r>
  <r>
    <x v="384"/>
    <x v="221"/>
    <x v="0"/>
    <x v="0"/>
    <x v="0"/>
    <x v="22"/>
    <x v="380"/>
    <x v="0"/>
    <x v="2"/>
    <x v="2"/>
    <x v="0"/>
  </r>
  <r>
    <x v="385"/>
    <x v="222"/>
    <x v="1"/>
    <x v="1"/>
    <x v="3"/>
    <x v="11"/>
    <x v="381"/>
    <x v="0"/>
    <x v="0"/>
    <x v="0"/>
    <x v="0"/>
  </r>
  <r>
    <x v="386"/>
    <x v="222"/>
    <x v="3"/>
    <x v="6"/>
    <x v="6"/>
    <x v="18"/>
    <x v="247"/>
    <x v="0"/>
    <x v="0"/>
    <x v="0"/>
    <x v="0"/>
  </r>
  <r>
    <x v="387"/>
    <x v="222"/>
    <x v="1"/>
    <x v="1"/>
    <x v="8"/>
    <x v="32"/>
    <x v="382"/>
    <x v="1"/>
    <x v="0"/>
    <x v="0"/>
    <x v="0"/>
  </r>
  <r>
    <x v="388"/>
    <x v="222"/>
    <x v="2"/>
    <x v="2"/>
    <x v="2"/>
    <x v="4"/>
    <x v="383"/>
    <x v="0"/>
    <x v="0"/>
    <x v="0"/>
    <x v="0"/>
  </r>
  <r>
    <x v="389"/>
    <x v="223"/>
    <x v="2"/>
    <x v="7"/>
    <x v="2"/>
    <x v="4"/>
    <x v="384"/>
    <x v="0"/>
    <x v="0"/>
    <x v="0"/>
    <x v="0"/>
  </r>
  <r>
    <x v="390"/>
    <x v="223"/>
    <x v="4"/>
    <x v="4"/>
    <x v="9"/>
    <x v="48"/>
    <x v="385"/>
    <x v="0"/>
    <x v="1"/>
    <x v="1"/>
    <x v="0"/>
  </r>
  <r>
    <x v="391"/>
    <x v="224"/>
    <x v="4"/>
    <x v="4"/>
    <x v="9"/>
    <x v="34"/>
    <x v="386"/>
    <x v="0"/>
    <x v="0"/>
    <x v="0"/>
    <x v="0"/>
  </r>
  <r>
    <x v="392"/>
    <x v="224"/>
    <x v="1"/>
    <x v="9"/>
    <x v="8"/>
    <x v="53"/>
    <x v="387"/>
    <x v="0"/>
    <x v="2"/>
    <x v="2"/>
    <x v="0"/>
  </r>
  <r>
    <x v="393"/>
    <x v="224"/>
    <x v="4"/>
    <x v="4"/>
    <x v="9"/>
    <x v="13"/>
    <x v="388"/>
    <x v="0"/>
    <x v="0"/>
    <x v="0"/>
    <x v="0"/>
  </r>
  <r>
    <x v="394"/>
    <x v="225"/>
    <x v="1"/>
    <x v="1"/>
    <x v="3"/>
    <x v="22"/>
    <x v="389"/>
    <x v="0"/>
    <x v="2"/>
    <x v="2"/>
    <x v="0"/>
  </r>
  <r>
    <x v="395"/>
    <x v="225"/>
    <x v="2"/>
    <x v="2"/>
    <x v="2"/>
    <x v="9"/>
    <x v="390"/>
    <x v="1"/>
    <x v="1"/>
    <x v="1"/>
    <x v="0"/>
  </r>
  <r>
    <x v="396"/>
    <x v="226"/>
    <x v="4"/>
    <x v="4"/>
    <x v="4"/>
    <x v="13"/>
    <x v="391"/>
    <x v="0"/>
    <x v="0"/>
    <x v="0"/>
    <x v="0"/>
  </r>
  <r>
    <x v="397"/>
    <x v="227"/>
    <x v="3"/>
    <x v="3"/>
    <x v="3"/>
    <x v="48"/>
    <x v="392"/>
    <x v="1"/>
    <x v="1"/>
    <x v="1"/>
    <x v="0"/>
  </r>
  <r>
    <x v="398"/>
    <x v="228"/>
    <x v="3"/>
    <x v="6"/>
    <x v="3"/>
    <x v="11"/>
    <x v="207"/>
    <x v="0"/>
    <x v="0"/>
    <x v="0"/>
    <x v="0"/>
  </r>
  <r>
    <x v="399"/>
    <x v="229"/>
    <x v="5"/>
    <x v="11"/>
    <x v="12"/>
    <x v="68"/>
    <x v="393"/>
    <x v="2"/>
    <x v="5"/>
    <x v="5"/>
    <x v="1"/>
  </r>
  <r>
    <x v="400"/>
    <x v="229"/>
    <x v="5"/>
    <x v="11"/>
    <x v="12"/>
    <x v="68"/>
    <x v="393"/>
    <x v="2"/>
    <x v="5"/>
    <x v="5"/>
    <x v="1"/>
  </r>
  <r>
    <x v="401"/>
    <x v="229"/>
    <x v="5"/>
    <x v="11"/>
    <x v="12"/>
    <x v="68"/>
    <x v="393"/>
    <x v="2"/>
    <x v="5"/>
    <x v="5"/>
    <x v="1"/>
  </r>
  <r>
    <x v="402"/>
    <x v="229"/>
    <x v="5"/>
    <x v="11"/>
    <x v="12"/>
    <x v="68"/>
    <x v="393"/>
    <x v="2"/>
    <x v="5"/>
    <x v="5"/>
    <x v="1"/>
  </r>
  <r>
    <x v="403"/>
    <x v="229"/>
    <x v="5"/>
    <x v="11"/>
    <x v="12"/>
    <x v="68"/>
    <x v="393"/>
    <x v="2"/>
    <x v="5"/>
    <x v="5"/>
    <x v="1"/>
  </r>
</pivotCacheRecords>
</file>

<file path=xl/pivotCache/pivotCacheRecords4.xml><?xml version="1.0" encoding="utf-8"?>
<pivotCacheRecords xmlns:r="http://schemas.openxmlformats.org/officeDocument/2006/relationships" xmlns="http://schemas.openxmlformats.org/spreadsheetml/2006/main" count="404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0"/>
    <x v="0"/>
  </r>
  <r>
    <x v="2"/>
    <x v="1"/>
    <x v="2"/>
    <x v="2"/>
    <x v="2"/>
    <x v="2"/>
    <x v="2"/>
    <x v="0"/>
    <x v="2"/>
    <x v="1"/>
    <x v="1"/>
    <x v="0"/>
  </r>
  <r>
    <x v="3"/>
    <x v="1"/>
    <x v="3"/>
    <x v="3"/>
    <x v="3"/>
    <x v="3"/>
    <x v="3"/>
    <x v="1"/>
    <x v="3"/>
    <x v="1"/>
    <x v="1"/>
    <x v="0"/>
  </r>
  <r>
    <x v="4"/>
    <x v="2"/>
    <x v="4"/>
    <x v="4"/>
    <x v="4"/>
    <x v="4"/>
    <x v="4"/>
    <x v="0"/>
    <x v="4"/>
    <x v="0"/>
    <x v="0"/>
    <x v="0"/>
  </r>
  <r>
    <x v="5"/>
    <x v="3"/>
    <x v="2"/>
    <x v="5"/>
    <x v="5"/>
    <x v="5"/>
    <x v="5"/>
    <x v="0"/>
    <x v="5"/>
    <x v="2"/>
    <x v="2"/>
    <x v="0"/>
  </r>
  <r>
    <x v="6"/>
    <x v="4"/>
    <x v="2"/>
    <x v="5"/>
    <x v="2"/>
    <x v="4"/>
    <x v="6"/>
    <x v="0"/>
    <x v="6"/>
    <x v="0"/>
    <x v="0"/>
    <x v="0"/>
  </r>
  <r>
    <x v="7"/>
    <x v="5"/>
    <x v="3"/>
    <x v="6"/>
    <x v="6"/>
    <x v="6"/>
    <x v="7"/>
    <x v="0"/>
    <x v="7"/>
    <x v="0"/>
    <x v="0"/>
    <x v="0"/>
  </r>
  <r>
    <x v="8"/>
    <x v="5"/>
    <x v="2"/>
    <x v="7"/>
    <x v="2"/>
    <x v="0"/>
    <x v="8"/>
    <x v="0"/>
    <x v="8"/>
    <x v="0"/>
    <x v="0"/>
    <x v="0"/>
  </r>
  <r>
    <x v="9"/>
    <x v="6"/>
    <x v="4"/>
    <x v="8"/>
    <x v="7"/>
    <x v="7"/>
    <x v="9"/>
    <x v="0"/>
    <x v="9"/>
    <x v="1"/>
    <x v="1"/>
    <x v="0"/>
  </r>
  <r>
    <x v="10"/>
    <x v="6"/>
    <x v="4"/>
    <x v="8"/>
    <x v="7"/>
    <x v="2"/>
    <x v="10"/>
    <x v="0"/>
    <x v="10"/>
    <x v="1"/>
    <x v="1"/>
    <x v="0"/>
  </r>
  <r>
    <x v="11"/>
    <x v="7"/>
    <x v="1"/>
    <x v="9"/>
    <x v="8"/>
    <x v="8"/>
    <x v="11"/>
    <x v="0"/>
    <x v="11"/>
    <x v="0"/>
    <x v="0"/>
    <x v="0"/>
  </r>
  <r>
    <x v="12"/>
    <x v="8"/>
    <x v="2"/>
    <x v="7"/>
    <x v="2"/>
    <x v="9"/>
    <x v="12"/>
    <x v="1"/>
    <x v="12"/>
    <x v="1"/>
    <x v="1"/>
    <x v="0"/>
  </r>
  <r>
    <x v="13"/>
    <x v="8"/>
    <x v="1"/>
    <x v="9"/>
    <x v="1"/>
    <x v="10"/>
    <x v="13"/>
    <x v="0"/>
    <x v="13"/>
    <x v="0"/>
    <x v="0"/>
    <x v="0"/>
  </r>
  <r>
    <x v="14"/>
    <x v="9"/>
    <x v="1"/>
    <x v="9"/>
    <x v="8"/>
    <x v="11"/>
    <x v="14"/>
    <x v="0"/>
    <x v="14"/>
    <x v="0"/>
    <x v="0"/>
    <x v="0"/>
  </r>
  <r>
    <x v="15"/>
    <x v="9"/>
    <x v="1"/>
    <x v="1"/>
    <x v="8"/>
    <x v="12"/>
    <x v="15"/>
    <x v="0"/>
    <x v="15"/>
    <x v="0"/>
    <x v="0"/>
    <x v="0"/>
  </r>
  <r>
    <x v="16"/>
    <x v="10"/>
    <x v="2"/>
    <x v="7"/>
    <x v="6"/>
    <x v="13"/>
    <x v="16"/>
    <x v="0"/>
    <x v="16"/>
    <x v="0"/>
    <x v="0"/>
    <x v="0"/>
  </r>
  <r>
    <x v="17"/>
    <x v="10"/>
    <x v="4"/>
    <x v="8"/>
    <x v="9"/>
    <x v="14"/>
    <x v="17"/>
    <x v="0"/>
    <x v="17"/>
    <x v="0"/>
    <x v="0"/>
    <x v="0"/>
  </r>
  <r>
    <x v="18"/>
    <x v="10"/>
    <x v="3"/>
    <x v="6"/>
    <x v="6"/>
    <x v="15"/>
    <x v="18"/>
    <x v="0"/>
    <x v="18"/>
    <x v="0"/>
    <x v="0"/>
    <x v="0"/>
  </r>
  <r>
    <x v="19"/>
    <x v="11"/>
    <x v="2"/>
    <x v="5"/>
    <x v="5"/>
    <x v="6"/>
    <x v="19"/>
    <x v="0"/>
    <x v="19"/>
    <x v="0"/>
    <x v="0"/>
    <x v="0"/>
  </r>
  <r>
    <x v="20"/>
    <x v="12"/>
    <x v="0"/>
    <x v="10"/>
    <x v="4"/>
    <x v="13"/>
    <x v="20"/>
    <x v="0"/>
    <x v="20"/>
    <x v="0"/>
    <x v="0"/>
    <x v="0"/>
  </r>
  <r>
    <x v="21"/>
    <x v="12"/>
    <x v="0"/>
    <x v="10"/>
    <x v="10"/>
    <x v="2"/>
    <x v="21"/>
    <x v="0"/>
    <x v="21"/>
    <x v="1"/>
    <x v="1"/>
    <x v="0"/>
  </r>
  <r>
    <x v="22"/>
    <x v="13"/>
    <x v="1"/>
    <x v="1"/>
    <x v="3"/>
    <x v="16"/>
    <x v="22"/>
    <x v="0"/>
    <x v="22"/>
    <x v="2"/>
    <x v="2"/>
    <x v="0"/>
  </r>
  <r>
    <x v="23"/>
    <x v="13"/>
    <x v="2"/>
    <x v="7"/>
    <x v="2"/>
    <x v="3"/>
    <x v="23"/>
    <x v="0"/>
    <x v="23"/>
    <x v="1"/>
    <x v="1"/>
    <x v="0"/>
  </r>
  <r>
    <x v="24"/>
    <x v="13"/>
    <x v="1"/>
    <x v="1"/>
    <x v="1"/>
    <x v="17"/>
    <x v="24"/>
    <x v="0"/>
    <x v="24"/>
    <x v="0"/>
    <x v="0"/>
    <x v="0"/>
  </r>
  <r>
    <x v="25"/>
    <x v="13"/>
    <x v="3"/>
    <x v="6"/>
    <x v="11"/>
    <x v="18"/>
    <x v="25"/>
    <x v="0"/>
    <x v="25"/>
    <x v="0"/>
    <x v="0"/>
    <x v="0"/>
  </r>
  <r>
    <x v="26"/>
    <x v="14"/>
    <x v="0"/>
    <x v="10"/>
    <x v="4"/>
    <x v="18"/>
    <x v="26"/>
    <x v="0"/>
    <x v="26"/>
    <x v="0"/>
    <x v="0"/>
    <x v="0"/>
  </r>
  <r>
    <x v="27"/>
    <x v="14"/>
    <x v="3"/>
    <x v="6"/>
    <x v="6"/>
    <x v="19"/>
    <x v="27"/>
    <x v="0"/>
    <x v="27"/>
    <x v="0"/>
    <x v="0"/>
    <x v="0"/>
  </r>
  <r>
    <x v="28"/>
    <x v="15"/>
    <x v="2"/>
    <x v="5"/>
    <x v="5"/>
    <x v="20"/>
    <x v="28"/>
    <x v="0"/>
    <x v="28"/>
    <x v="0"/>
    <x v="0"/>
    <x v="0"/>
  </r>
  <r>
    <x v="29"/>
    <x v="15"/>
    <x v="2"/>
    <x v="7"/>
    <x v="5"/>
    <x v="21"/>
    <x v="29"/>
    <x v="0"/>
    <x v="29"/>
    <x v="2"/>
    <x v="2"/>
    <x v="0"/>
  </r>
  <r>
    <x v="30"/>
    <x v="15"/>
    <x v="1"/>
    <x v="9"/>
    <x v="1"/>
    <x v="10"/>
    <x v="30"/>
    <x v="0"/>
    <x v="30"/>
    <x v="0"/>
    <x v="0"/>
    <x v="0"/>
  </r>
  <r>
    <x v="31"/>
    <x v="16"/>
    <x v="1"/>
    <x v="9"/>
    <x v="1"/>
    <x v="0"/>
    <x v="31"/>
    <x v="0"/>
    <x v="31"/>
    <x v="0"/>
    <x v="0"/>
    <x v="0"/>
  </r>
  <r>
    <x v="32"/>
    <x v="16"/>
    <x v="3"/>
    <x v="6"/>
    <x v="6"/>
    <x v="5"/>
    <x v="32"/>
    <x v="0"/>
    <x v="32"/>
    <x v="2"/>
    <x v="2"/>
    <x v="0"/>
  </r>
  <r>
    <x v="33"/>
    <x v="17"/>
    <x v="1"/>
    <x v="1"/>
    <x v="1"/>
    <x v="22"/>
    <x v="33"/>
    <x v="0"/>
    <x v="33"/>
    <x v="2"/>
    <x v="2"/>
    <x v="0"/>
  </r>
  <r>
    <x v="34"/>
    <x v="18"/>
    <x v="2"/>
    <x v="2"/>
    <x v="6"/>
    <x v="18"/>
    <x v="34"/>
    <x v="0"/>
    <x v="34"/>
    <x v="0"/>
    <x v="0"/>
    <x v="0"/>
  </r>
  <r>
    <x v="35"/>
    <x v="19"/>
    <x v="0"/>
    <x v="10"/>
    <x v="4"/>
    <x v="19"/>
    <x v="35"/>
    <x v="0"/>
    <x v="35"/>
    <x v="0"/>
    <x v="0"/>
    <x v="0"/>
  </r>
  <r>
    <x v="36"/>
    <x v="20"/>
    <x v="4"/>
    <x v="4"/>
    <x v="7"/>
    <x v="1"/>
    <x v="36"/>
    <x v="0"/>
    <x v="36"/>
    <x v="0"/>
    <x v="0"/>
    <x v="0"/>
  </r>
  <r>
    <x v="37"/>
    <x v="20"/>
    <x v="1"/>
    <x v="1"/>
    <x v="8"/>
    <x v="23"/>
    <x v="37"/>
    <x v="0"/>
    <x v="37"/>
    <x v="2"/>
    <x v="2"/>
    <x v="0"/>
  </r>
  <r>
    <x v="38"/>
    <x v="20"/>
    <x v="3"/>
    <x v="3"/>
    <x v="3"/>
    <x v="14"/>
    <x v="38"/>
    <x v="0"/>
    <x v="38"/>
    <x v="0"/>
    <x v="0"/>
    <x v="0"/>
  </r>
  <r>
    <x v="39"/>
    <x v="20"/>
    <x v="4"/>
    <x v="8"/>
    <x v="4"/>
    <x v="24"/>
    <x v="39"/>
    <x v="0"/>
    <x v="39"/>
    <x v="1"/>
    <x v="1"/>
    <x v="0"/>
  </r>
  <r>
    <x v="40"/>
    <x v="20"/>
    <x v="2"/>
    <x v="2"/>
    <x v="6"/>
    <x v="15"/>
    <x v="40"/>
    <x v="0"/>
    <x v="40"/>
    <x v="0"/>
    <x v="0"/>
    <x v="0"/>
  </r>
  <r>
    <x v="41"/>
    <x v="21"/>
    <x v="1"/>
    <x v="1"/>
    <x v="8"/>
    <x v="23"/>
    <x v="41"/>
    <x v="0"/>
    <x v="41"/>
    <x v="2"/>
    <x v="2"/>
    <x v="0"/>
  </r>
  <r>
    <x v="42"/>
    <x v="22"/>
    <x v="0"/>
    <x v="10"/>
    <x v="10"/>
    <x v="25"/>
    <x v="42"/>
    <x v="0"/>
    <x v="42"/>
    <x v="0"/>
    <x v="0"/>
    <x v="0"/>
  </r>
  <r>
    <x v="43"/>
    <x v="22"/>
    <x v="2"/>
    <x v="2"/>
    <x v="6"/>
    <x v="15"/>
    <x v="43"/>
    <x v="0"/>
    <x v="43"/>
    <x v="0"/>
    <x v="0"/>
    <x v="0"/>
  </r>
  <r>
    <x v="44"/>
    <x v="22"/>
    <x v="2"/>
    <x v="7"/>
    <x v="5"/>
    <x v="11"/>
    <x v="44"/>
    <x v="0"/>
    <x v="44"/>
    <x v="0"/>
    <x v="0"/>
    <x v="0"/>
  </r>
  <r>
    <x v="45"/>
    <x v="22"/>
    <x v="2"/>
    <x v="7"/>
    <x v="6"/>
    <x v="2"/>
    <x v="45"/>
    <x v="0"/>
    <x v="45"/>
    <x v="1"/>
    <x v="1"/>
    <x v="0"/>
  </r>
  <r>
    <x v="46"/>
    <x v="23"/>
    <x v="2"/>
    <x v="7"/>
    <x v="2"/>
    <x v="26"/>
    <x v="46"/>
    <x v="0"/>
    <x v="46"/>
    <x v="1"/>
    <x v="1"/>
    <x v="0"/>
  </r>
  <r>
    <x v="47"/>
    <x v="23"/>
    <x v="0"/>
    <x v="10"/>
    <x v="10"/>
    <x v="24"/>
    <x v="47"/>
    <x v="1"/>
    <x v="47"/>
    <x v="1"/>
    <x v="1"/>
    <x v="0"/>
  </r>
  <r>
    <x v="48"/>
    <x v="24"/>
    <x v="3"/>
    <x v="3"/>
    <x v="3"/>
    <x v="6"/>
    <x v="48"/>
    <x v="0"/>
    <x v="48"/>
    <x v="0"/>
    <x v="0"/>
    <x v="0"/>
  </r>
  <r>
    <x v="49"/>
    <x v="24"/>
    <x v="2"/>
    <x v="5"/>
    <x v="5"/>
    <x v="27"/>
    <x v="49"/>
    <x v="0"/>
    <x v="49"/>
    <x v="1"/>
    <x v="1"/>
    <x v="0"/>
  </r>
  <r>
    <x v="50"/>
    <x v="24"/>
    <x v="2"/>
    <x v="7"/>
    <x v="6"/>
    <x v="16"/>
    <x v="50"/>
    <x v="0"/>
    <x v="50"/>
    <x v="2"/>
    <x v="2"/>
    <x v="0"/>
  </r>
  <r>
    <x v="51"/>
    <x v="25"/>
    <x v="2"/>
    <x v="7"/>
    <x v="6"/>
    <x v="13"/>
    <x v="51"/>
    <x v="0"/>
    <x v="51"/>
    <x v="0"/>
    <x v="0"/>
    <x v="0"/>
  </r>
  <r>
    <x v="52"/>
    <x v="26"/>
    <x v="0"/>
    <x v="0"/>
    <x v="0"/>
    <x v="28"/>
    <x v="52"/>
    <x v="0"/>
    <x v="52"/>
    <x v="2"/>
    <x v="2"/>
    <x v="0"/>
  </r>
  <r>
    <x v="53"/>
    <x v="26"/>
    <x v="3"/>
    <x v="6"/>
    <x v="3"/>
    <x v="5"/>
    <x v="53"/>
    <x v="0"/>
    <x v="53"/>
    <x v="2"/>
    <x v="2"/>
    <x v="0"/>
  </r>
  <r>
    <x v="54"/>
    <x v="27"/>
    <x v="3"/>
    <x v="6"/>
    <x v="6"/>
    <x v="22"/>
    <x v="54"/>
    <x v="0"/>
    <x v="54"/>
    <x v="2"/>
    <x v="2"/>
    <x v="0"/>
  </r>
  <r>
    <x v="55"/>
    <x v="27"/>
    <x v="2"/>
    <x v="2"/>
    <x v="5"/>
    <x v="29"/>
    <x v="55"/>
    <x v="1"/>
    <x v="55"/>
    <x v="1"/>
    <x v="1"/>
    <x v="0"/>
  </r>
  <r>
    <x v="56"/>
    <x v="28"/>
    <x v="2"/>
    <x v="2"/>
    <x v="5"/>
    <x v="30"/>
    <x v="56"/>
    <x v="1"/>
    <x v="56"/>
    <x v="1"/>
    <x v="1"/>
    <x v="0"/>
  </r>
  <r>
    <x v="57"/>
    <x v="28"/>
    <x v="0"/>
    <x v="10"/>
    <x v="0"/>
    <x v="23"/>
    <x v="57"/>
    <x v="0"/>
    <x v="57"/>
    <x v="2"/>
    <x v="2"/>
    <x v="0"/>
  </r>
  <r>
    <x v="58"/>
    <x v="29"/>
    <x v="1"/>
    <x v="1"/>
    <x v="8"/>
    <x v="6"/>
    <x v="58"/>
    <x v="0"/>
    <x v="58"/>
    <x v="0"/>
    <x v="0"/>
    <x v="0"/>
  </r>
  <r>
    <x v="59"/>
    <x v="30"/>
    <x v="2"/>
    <x v="2"/>
    <x v="5"/>
    <x v="4"/>
    <x v="59"/>
    <x v="0"/>
    <x v="59"/>
    <x v="0"/>
    <x v="0"/>
    <x v="0"/>
  </r>
  <r>
    <x v="60"/>
    <x v="30"/>
    <x v="4"/>
    <x v="8"/>
    <x v="4"/>
    <x v="31"/>
    <x v="60"/>
    <x v="1"/>
    <x v="60"/>
    <x v="3"/>
    <x v="3"/>
    <x v="0"/>
  </r>
  <r>
    <x v="61"/>
    <x v="31"/>
    <x v="3"/>
    <x v="6"/>
    <x v="3"/>
    <x v="11"/>
    <x v="61"/>
    <x v="0"/>
    <x v="61"/>
    <x v="0"/>
    <x v="0"/>
    <x v="0"/>
  </r>
  <r>
    <x v="62"/>
    <x v="32"/>
    <x v="0"/>
    <x v="0"/>
    <x v="4"/>
    <x v="10"/>
    <x v="62"/>
    <x v="0"/>
    <x v="62"/>
    <x v="0"/>
    <x v="0"/>
    <x v="0"/>
  </r>
  <r>
    <x v="63"/>
    <x v="33"/>
    <x v="3"/>
    <x v="3"/>
    <x v="6"/>
    <x v="16"/>
    <x v="63"/>
    <x v="0"/>
    <x v="63"/>
    <x v="2"/>
    <x v="2"/>
    <x v="0"/>
  </r>
  <r>
    <x v="64"/>
    <x v="33"/>
    <x v="2"/>
    <x v="5"/>
    <x v="2"/>
    <x v="32"/>
    <x v="64"/>
    <x v="0"/>
    <x v="64"/>
    <x v="0"/>
    <x v="0"/>
    <x v="0"/>
  </r>
  <r>
    <x v="65"/>
    <x v="34"/>
    <x v="1"/>
    <x v="1"/>
    <x v="3"/>
    <x v="33"/>
    <x v="65"/>
    <x v="0"/>
    <x v="65"/>
    <x v="2"/>
    <x v="2"/>
    <x v="0"/>
  </r>
  <r>
    <x v="66"/>
    <x v="35"/>
    <x v="3"/>
    <x v="6"/>
    <x v="6"/>
    <x v="6"/>
    <x v="66"/>
    <x v="0"/>
    <x v="66"/>
    <x v="0"/>
    <x v="0"/>
    <x v="0"/>
  </r>
  <r>
    <x v="67"/>
    <x v="35"/>
    <x v="0"/>
    <x v="10"/>
    <x v="10"/>
    <x v="17"/>
    <x v="67"/>
    <x v="0"/>
    <x v="67"/>
    <x v="0"/>
    <x v="0"/>
    <x v="0"/>
  </r>
  <r>
    <x v="68"/>
    <x v="35"/>
    <x v="2"/>
    <x v="2"/>
    <x v="6"/>
    <x v="34"/>
    <x v="68"/>
    <x v="0"/>
    <x v="68"/>
    <x v="0"/>
    <x v="0"/>
    <x v="0"/>
  </r>
  <r>
    <x v="69"/>
    <x v="36"/>
    <x v="0"/>
    <x v="10"/>
    <x v="0"/>
    <x v="35"/>
    <x v="69"/>
    <x v="0"/>
    <x v="69"/>
    <x v="2"/>
    <x v="2"/>
    <x v="0"/>
  </r>
  <r>
    <x v="70"/>
    <x v="36"/>
    <x v="1"/>
    <x v="1"/>
    <x v="1"/>
    <x v="4"/>
    <x v="70"/>
    <x v="0"/>
    <x v="70"/>
    <x v="0"/>
    <x v="0"/>
    <x v="0"/>
  </r>
  <r>
    <x v="71"/>
    <x v="37"/>
    <x v="3"/>
    <x v="3"/>
    <x v="3"/>
    <x v="10"/>
    <x v="71"/>
    <x v="0"/>
    <x v="71"/>
    <x v="0"/>
    <x v="0"/>
    <x v="0"/>
  </r>
  <r>
    <x v="72"/>
    <x v="37"/>
    <x v="3"/>
    <x v="6"/>
    <x v="3"/>
    <x v="11"/>
    <x v="72"/>
    <x v="0"/>
    <x v="72"/>
    <x v="0"/>
    <x v="0"/>
    <x v="0"/>
  </r>
  <r>
    <x v="73"/>
    <x v="38"/>
    <x v="0"/>
    <x v="0"/>
    <x v="4"/>
    <x v="14"/>
    <x v="73"/>
    <x v="0"/>
    <x v="73"/>
    <x v="0"/>
    <x v="0"/>
    <x v="0"/>
  </r>
  <r>
    <x v="74"/>
    <x v="38"/>
    <x v="1"/>
    <x v="1"/>
    <x v="8"/>
    <x v="18"/>
    <x v="74"/>
    <x v="0"/>
    <x v="74"/>
    <x v="0"/>
    <x v="0"/>
    <x v="0"/>
  </r>
  <r>
    <x v="75"/>
    <x v="38"/>
    <x v="3"/>
    <x v="3"/>
    <x v="6"/>
    <x v="5"/>
    <x v="75"/>
    <x v="0"/>
    <x v="75"/>
    <x v="2"/>
    <x v="2"/>
    <x v="0"/>
  </r>
  <r>
    <x v="76"/>
    <x v="39"/>
    <x v="0"/>
    <x v="0"/>
    <x v="4"/>
    <x v="36"/>
    <x v="76"/>
    <x v="0"/>
    <x v="76"/>
    <x v="1"/>
    <x v="1"/>
    <x v="0"/>
  </r>
  <r>
    <x v="77"/>
    <x v="40"/>
    <x v="2"/>
    <x v="7"/>
    <x v="2"/>
    <x v="14"/>
    <x v="77"/>
    <x v="0"/>
    <x v="77"/>
    <x v="0"/>
    <x v="0"/>
    <x v="0"/>
  </r>
  <r>
    <x v="78"/>
    <x v="40"/>
    <x v="2"/>
    <x v="2"/>
    <x v="5"/>
    <x v="32"/>
    <x v="78"/>
    <x v="0"/>
    <x v="78"/>
    <x v="0"/>
    <x v="0"/>
    <x v="0"/>
  </r>
  <r>
    <x v="79"/>
    <x v="40"/>
    <x v="3"/>
    <x v="6"/>
    <x v="3"/>
    <x v="32"/>
    <x v="79"/>
    <x v="0"/>
    <x v="79"/>
    <x v="0"/>
    <x v="0"/>
    <x v="0"/>
  </r>
  <r>
    <x v="80"/>
    <x v="41"/>
    <x v="2"/>
    <x v="2"/>
    <x v="2"/>
    <x v="1"/>
    <x v="80"/>
    <x v="0"/>
    <x v="80"/>
    <x v="0"/>
    <x v="0"/>
    <x v="0"/>
  </r>
  <r>
    <x v="81"/>
    <x v="41"/>
    <x v="2"/>
    <x v="2"/>
    <x v="5"/>
    <x v="34"/>
    <x v="81"/>
    <x v="0"/>
    <x v="81"/>
    <x v="0"/>
    <x v="0"/>
    <x v="0"/>
  </r>
  <r>
    <x v="82"/>
    <x v="42"/>
    <x v="2"/>
    <x v="5"/>
    <x v="6"/>
    <x v="26"/>
    <x v="82"/>
    <x v="0"/>
    <x v="82"/>
    <x v="1"/>
    <x v="1"/>
    <x v="0"/>
  </r>
  <r>
    <x v="83"/>
    <x v="43"/>
    <x v="0"/>
    <x v="10"/>
    <x v="4"/>
    <x v="20"/>
    <x v="83"/>
    <x v="0"/>
    <x v="83"/>
    <x v="0"/>
    <x v="0"/>
    <x v="0"/>
  </r>
  <r>
    <x v="84"/>
    <x v="44"/>
    <x v="3"/>
    <x v="3"/>
    <x v="6"/>
    <x v="8"/>
    <x v="84"/>
    <x v="0"/>
    <x v="84"/>
    <x v="0"/>
    <x v="0"/>
    <x v="0"/>
  </r>
  <r>
    <x v="85"/>
    <x v="44"/>
    <x v="0"/>
    <x v="0"/>
    <x v="4"/>
    <x v="32"/>
    <x v="85"/>
    <x v="0"/>
    <x v="85"/>
    <x v="0"/>
    <x v="0"/>
    <x v="0"/>
  </r>
  <r>
    <x v="86"/>
    <x v="45"/>
    <x v="2"/>
    <x v="2"/>
    <x v="2"/>
    <x v="37"/>
    <x v="86"/>
    <x v="1"/>
    <x v="86"/>
    <x v="4"/>
    <x v="4"/>
    <x v="0"/>
  </r>
  <r>
    <x v="87"/>
    <x v="45"/>
    <x v="1"/>
    <x v="9"/>
    <x v="1"/>
    <x v="33"/>
    <x v="87"/>
    <x v="0"/>
    <x v="87"/>
    <x v="2"/>
    <x v="2"/>
    <x v="0"/>
  </r>
  <r>
    <x v="88"/>
    <x v="46"/>
    <x v="0"/>
    <x v="0"/>
    <x v="0"/>
    <x v="17"/>
    <x v="88"/>
    <x v="0"/>
    <x v="88"/>
    <x v="0"/>
    <x v="0"/>
    <x v="0"/>
  </r>
  <r>
    <x v="89"/>
    <x v="47"/>
    <x v="2"/>
    <x v="2"/>
    <x v="2"/>
    <x v="13"/>
    <x v="89"/>
    <x v="0"/>
    <x v="89"/>
    <x v="0"/>
    <x v="0"/>
    <x v="0"/>
  </r>
  <r>
    <x v="90"/>
    <x v="48"/>
    <x v="2"/>
    <x v="5"/>
    <x v="6"/>
    <x v="24"/>
    <x v="90"/>
    <x v="0"/>
    <x v="90"/>
    <x v="1"/>
    <x v="1"/>
    <x v="0"/>
  </r>
  <r>
    <x v="91"/>
    <x v="48"/>
    <x v="1"/>
    <x v="9"/>
    <x v="8"/>
    <x v="16"/>
    <x v="91"/>
    <x v="0"/>
    <x v="91"/>
    <x v="2"/>
    <x v="2"/>
    <x v="0"/>
  </r>
  <r>
    <x v="92"/>
    <x v="49"/>
    <x v="0"/>
    <x v="10"/>
    <x v="0"/>
    <x v="38"/>
    <x v="92"/>
    <x v="0"/>
    <x v="92"/>
    <x v="2"/>
    <x v="2"/>
    <x v="0"/>
  </r>
  <r>
    <x v="93"/>
    <x v="50"/>
    <x v="4"/>
    <x v="4"/>
    <x v="4"/>
    <x v="12"/>
    <x v="93"/>
    <x v="0"/>
    <x v="93"/>
    <x v="0"/>
    <x v="0"/>
    <x v="0"/>
  </r>
  <r>
    <x v="94"/>
    <x v="51"/>
    <x v="2"/>
    <x v="7"/>
    <x v="5"/>
    <x v="10"/>
    <x v="94"/>
    <x v="0"/>
    <x v="94"/>
    <x v="0"/>
    <x v="0"/>
    <x v="0"/>
  </r>
  <r>
    <x v="95"/>
    <x v="51"/>
    <x v="1"/>
    <x v="1"/>
    <x v="3"/>
    <x v="6"/>
    <x v="95"/>
    <x v="0"/>
    <x v="95"/>
    <x v="0"/>
    <x v="0"/>
    <x v="0"/>
  </r>
  <r>
    <x v="96"/>
    <x v="52"/>
    <x v="2"/>
    <x v="5"/>
    <x v="2"/>
    <x v="28"/>
    <x v="96"/>
    <x v="0"/>
    <x v="96"/>
    <x v="2"/>
    <x v="2"/>
    <x v="0"/>
  </r>
  <r>
    <x v="97"/>
    <x v="53"/>
    <x v="4"/>
    <x v="4"/>
    <x v="7"/>
    <x v="25"/>
    <x v="97"/>
    <x v="0"/>
    <x v="97"/>
    <x v="0"/>
    <x v="0"/>
    <x v="0"/>
  </r>
  <r>
    <x v="98"/>
    <x v="54"/>
    <x v="0"/>
    <x v="0"/>
    <x v="10"/>
    <x v="39"/>
    <x v="98"/>
    <x v="0"/>
    <x v="98"/>
    <x v="2"/>
    <x v="2"/>
    <x v="0"/>
  </r>
  <r>
    <x v="99"/>
    <x v="55"/>
    <x v="0"/>
    <x v="0"/>
    <x v="4"/>
    <x v="40"/>
    <x v="99"/>
    <x v="0"/>
    <x v="99"/>
    <x v="1"/>
    <x v="1"/>
    <x v="0"/>
  </r>
  <r>
    <x v="100"/>
    <x v="56"/>
    <x v="3"/>
    <x v="3"/>
    <x v="6"/>
    <x v="22"/>
    <x v="100"/>
    <x v="0"/>
    <x v="100"/>
    <x v="2"/>
    <x v="2"/>
    <x v="0"/>
  </r>
  <r>
    <x v="101"/>
    <x v="57"/>
    <x v="3"/>
    <x v="6"/>
    <x v="3"/>
    <x v="6"/>
    <x v="101"/>
    <x v="0"/>
    <x v="101"/>
    <x v="0"/>
    <x v="0"/>
    <x v="0"/>
  </r>
  <r>
    <x v="102"/>
    <x v="58"/>
    <x v="0"/>
    <x v="10"/>
    <x v="0"/>
    <x v="18"/>
    <x v="102"/>
    <x v="0"/>
    <x v="102"/>
    <x v="0"/>
    <x v="0"/>
    <x v="0"/>
  </r>
  <r>
    <x v="103"/>
    <x v="58"/>
    <x v="1"/>
    <x v="1"/>
    <x v="3"/>
    <x v="41"/>
    <x v="103"/>
    <x v="0"/>
    <x v="103"/>
    <x v="2"/>
    <x v="2"/>
    <x v="0"/>
  </r>
  <r>
    <x v="104"/>
    <x v="59"/>
    <x v="2"/>
    <x v="2"/>
    <x v="2"/>
    <x v="35"/>
    <x v="104"/>
    <x v="0"/>
    <x v="104"/>
    <x v="2"/>
    <x v="2"/>
    <x v="0"/>
  </r>
  <r>
    <x v="105"/>
    <x v="59"/>
    <x v="0"/>
    <x v="10"/>
    <x v="10"/>
    <x v="5"/>
    <x v="105"/>
    <x v="0"/>
    <x v="105"/>
    <x v="2"/>
    <x v="2"/>
    <x v="0"/>
  </r>
  <r>
    <x v="106"/>
    <x v="60"/>
    <x v="1"/>
    <x v="9"/>
    <x v="8"/>
    <x v="21"/>
    <x v="106"/>
    <x v="0"/>
    <x v="106"/>
    <x v="2"/>
    <x v="2"/>
    <x v="0"/>
  </r>
  <r>
    <x v="107"/>
    <x v="61"/>
    <x v="2"/>
    <x v="5"/>
    <x v="2"/>
    <x v="0"/>
    <x v="107"/>
    <x v="0"/>
    <x v="107"/>
    <x v="0"/>
    <x v="0"/>
    <x v="0"/>
  </r>
  <r>
    <x v="108"/>
    <x v="62"/>
    <x v="2"/>
    <x v="2"/>
    <x v="2"/>
    <x v="24"/>
    <x v="108"/>
    <x v="0"/>
    <x v="108"/>
    <x v="1"/>
    <x v="1"/>
    <x v="0"/>
  </r>
  <r>
    <x v="109"/>
    <x v="63"/>
    <x v="2"/>
    <x v="2"/>
    <x v="2"/>
    <x v="8"/>
    <x v="109"/>
    <x v="0"/>
    <x v="109"/>
    <x v="0"/>
    <x v="0"/>
    <x v="0"/>
  </r>
  <r>
    <x v="110"/>
    <x v="63"/>
    <x v="0"/>
    <x v="0"/>
    <x v="4"/>
    <x v="42"/>
    <x v="110"/>
    <x v="0"/>
    <x v="110"/>
    <x v="0"/>
    <x v="0"/>
    <x v="0"/>
  </r>
  <r>
    <x v="111"/>
    <x v="64"/>
    <x v="2"/>
    <x v="7"/>
    <x v="2"/>
    <x v="15"/>
    <x v="111"/>
    <x v="0"/>
    <x v="111"/>
    <x v="0"/>
    <x v="0"/>
    <x v="0"/>
  </r>
  <r>
    <x v="112"/>
    <x v="64"/>
    <x v="2"/>
    <x v="5"/>
    <x v="5"/>
    <x v="39"/>
    <x v="112"/>
    <x v="0"/>
    <x v="112"/>
    <x v="2"/>
    <x v="2"/>
    <x v="0"/>
  </r>
  <r>
    <x v="113"/>
    <x v="64"/>
    <x v="2"/>
    <x v="2"/>
    <x v="6"/>
    <x v="20"/>
    <x v="113"/>
    <x v="0"/>
    <x v="113"/>
    <x v="0"/>
    <x v="0"/>
    <x v="0"/>
  </r>
  <r>
    <x v="114"/>
    <x v="65"/>
    <x v="1"/>
    <x v="9"/>
    <x v="1"/>
    <x v="10"/>
    <x v="114"/>
    <x v="0"/>
    <x v="114"/>
    <x v="0"/>
    <x v="0"/>
    <x v="0"/>
  </r>
  <r>
    <x v="115"/>
    <x v="65"/>
    <x v="2"/>
    <x v="5"/>
    <x v="6"/>
    <x v="43"/>
    <x v="115"/>
    <x v="1"/>
    <x v="29"/>
    <x v="4"/>
    <x v="4"/>
    <x v="0"/>
  </r>
  <r>
    <x v="116"/>
    <x v="66"/>
    <x v="0"/>
    <x v="10"/>
    <x v="4"/>
    <x v="8"/>
    <x v="116"/>
    <x v="0"/>
    <x v="115"/>
    <x v="0"/>
    <x v="0"/>
    <x v="0"/>
  </r>
  <r>
    <x v="117"/>
    <x v="66"/>
    <x v="3"/>
    <x v="3"/>
    <x v="11"/>
    <x v="12"/>
    <x v="117"/>
    <x v="0"/>
    <x v="116"/>
    <x v="0"/>
    <x v="0"/>
    <x v="0"/>
  </r>
  <r>
    <x v="118"/>
    <x v="67"/>
    <x v="4"/>
    <x v="8"/>
    <x v="9"/>
    <x v="26"/>
    <x v="118"/>
    <x v="0"/>
    <x v="117"/>
    <x v="1"/>
    <x v="1"/>
    <x v="0"/>
  </r>
  <r>
    <x v="119"/>
    <x v="67"/>
    <x v="1"/>
    <x v="9"/>
    <x v="1"/>
    <x v="44"/>
    <x v="119"/>
    <x v="0"/>
    <x v="91"/>
    <x v="2"/>
    <x v="2"/>
    <x v="0"/>
  </r>
  <r>
    <x v="120"/>
    <x v="67"/>
    <x v="2"/>
    <x v="5"/>
    <x v="2"/>
    <x v="45"/>
    <x v="120"/>
    <x v="0"/>
    <x v="118"/>
    <x v="2"/>
    <x v="2"/>
    <x v="0"/>
  </r>
  <r>
    <x v="121"/>
    <x v="67"/>
    <x v="2"/>
    <x v="5"/>
    <x v="6"/>
    <x v="18"/>
    <x v="121"/>
    <x v="0"/>
    <x v="119"/>
    <x v="0"/>
    <x v="0"/>
    <x v="0"/>
  </r>
  <r>
    <x v="122"/>
    <x v="68"/>
    <x v="4"/>
    <x v="4"/>
    <x v="7"/>
    <x v="46"/>
    <x v="122"/>
    <x v="0"/>
    <x v="120"/>
    <x v="4"/>
    <x v="4"/>
    <x v="0"/>
  </r>
  <r>
    <x v="123"/>
    <x v="68"/>
    <x v="3"/>
    <x v="6"/>
    <x v="11"/>
    <x v="3"/>
    <x v="123"/>
    <x v="1"/>
    <x v="121"/>
    <x v="1"/>
    <x v="1"/>
    <x v="0"/>
  </r>
  <r>
    <x v="124"/>
    <x v="68"/>
    <x v="2"/>
    <x v="7"/>
    <x v="2"/>
    <x v="16"/>
    <x v="124"/>
    <x v="0"/>
    <x v="122"/>
    <x v="2"/>
    <x v="2"/>
    <x v="0"/>
  </r>
  <r>
    <x v="125"/>
    <x v="68"/>
    <x v="3"/>
    <x v="3"/>
    <x v="11"/>
    <x v="47"/>
    <x v="125"/>
    <x v="0"/>
    <x v="123"/>
    <x v="2"/>
    <x v="2"/>
    <x v="0"/>
  </r>
  <r>
    <x v="126"/>
    <x v="69"/>
    <x v="3"/>
    <x v="6"/>
    <x v="6"/>
    <x v="19"/>
    <x v="126"/>
    <x v="0"/>
    <x v="124"/>
    <x v="0"/>
    <x v="0"/>
    <x v="0"/>
  </r>
  <r>
    <x v="127"/>
    <x v="69"/>
    <x v="2"/>
    <x v="7"/>
    <x v="2"/>
    <x v="40"/>
    <x v="127"/>
    <x v="0"/>
    <x v="125"/>
    <x v="1"/>
    <x v="1"/>
    <x v="0"/>
  </r>
  <r>
    <x v="128"/>
    <x v="70"/>
    <x v="2"/>
    <x v="2"/>
    <x v="5"/>
    <x v="2"/>
    <x v="128"/>
    <x v="0"/>
    <x v="126"/>
    <x v="1"/>
    <x v="1"/>
    <x v="0"/>
  </r>
  <r>
    <x v="129"/>
    <x v="71"/>
    <x v="0"/>
    <x v="10"/>
    <x v="0"/>
    <x v="36"/>
    <x v="129"/>
    <x v="0"/>
    <x v="127"/>
    <x v="1"/>
    <x v="1"/>
    <x v="0"/>
  </r>
  <r>
    <x v="130"/>
    <x v="72"/>
    <x v="0"/>
    <x v="0"/>
    <x v="10"/>
    <x v="25"/>
    <x v="130"/>
    <x v="0"/>
    <x v="128"/>
    <x v="0"/>
    <x v="0"/>
    <x v="0"/>
  </r>
  <r>
    <x v="131"/>
    <x v="73"/>
    <x v="4"/>
    <x v="8"/>
    <x v="9"/>
    <x v="14"/>
    <x v="131"/>
    <x v="0"/>
    <x v="129"/>
    <x v="0"/>
    <x v="0"/>
    <x v="0"/>
  </r>
  <r>
    <x v="132"/>
    <x v="73"/>
    <x v="2"/>
    <x v="2"/>
    <x v="5"/>
    <x v="5"/>
    <x v="132"/>
    <x v="0"/>
    <x v="130"/>
    <x v="2"/>
    <x v="2"/>
    <x v="0"/>
  </r>
  <r>
    <x v="133"/>
    <x v="73"/>
    <x v="0"/>
    <x v="0"/>
    <x v="0"/>
    <x v="11"/>
    <x v="133"/>
    <x v="0"/>
    <x v="131"/>
    <x v="0"/>
    <x v="0"/>
    <x v="0"/>
  </r>
  <r>
    <x v="134"/>
    <x v="74"/>
    <x v="1"/>
    <x v="9"/>
    <x v="3"/>
    <x v="10"/>
    <x v="134"/>
    <x v="0"/>
    <x v="132"/>
    <x v="0"/>
    <x v="0"/>
    <x v="0"/>
  </r>
  <r>
    <x v="135"/>
    <x v="75"/>
    <x v="2"/>
    <x v="2"/>
    <x v="6"/>
    <x v="48"/>
    <x v="135"/>
    <x v="0"/>
    <x v="133"/>
    <x v="1"/>
    <x v="1"/>
    <x v="0"/>
  </r>
  <r>
    <x v="136"/>
    <x v="76"/>
    <x v="1"/>
    <x v="1"/>
    <x v="3"/>
    <x v="15"/>
    <x v="136"/>
    <x v="0"/>
    <x v="134"/>
    <x v="0"/>
    <x v="0"/>
    <x v="0"/>
  </r>
  <r>
    <x v="137"/>
    <x v="77"/>
    <x v="3"/>
    <x v="3"/>
    <x v="11"/>
    <x v="49"/>
    <x v="137"/>
    <x v="0"/>
    <x v="135"/>
    <x v="0"/>
    <x v="0"/>
    <x v="0"/>
  </r>
  <r>
    <x v="138"/>
    <x v="78"/>
    <x v="3"/>
    <x v="6"/>
    <x v="3"/>
    <x v="12"/>
    <x v="138"/>
    <x v="0"/>
    <x v="136"/>
    <x v="0"/>
    <x v="0"/>
    <x v="0"/>
  </r>
  <r>
    <x v="139"/>
    <x v="78"/>
    <x v="2"/>
    <x v="2"/>
    <x v="6"/>
    <x v="50"/>
    <x v="139"/>
    <x v="1"/>
    <x v="137"/>
    <x v="4"/>
    <x v="4"/>
    <x v="0"/>
  </r>
  <r>
    <x v="140"/>
    <x v="79"/>
    <x v="2"/>
    <x v="5"/>
    <x v="5"/>
    <x v="34"/>
    <x v="140"/>
    <x v="0"/>
    <x v="138"/>
    <x v="0"/>
    <x v="0"/>
    <x v="0"/>
  </r>
  <r>
    <x v="141"/>
    <x v="80"/>
    <x v="2"/>
    <x v="2"/>
    <x v="5"/>
    <x v="2"/>
    <x v="141"/>
    <x v="0"/>
    <x v="139"/>
    <x v="1"/>
    <x v="1"/>
    <x v="0"/>
  </r>
  <r>
    <x v="142"/>
    <x v="80"/>
    <x v="2"/>
    <x v="5"/>
    <x v="2"/>
    <x v="36"/>
    <x v="142"/>
    <x v="0"/>
    <x v="140"/>
    <x v="1"/>
    <x v="1"/>
    <x v="0"/>
  </r>
  <r>
    <x v="143"/>
    <x v="81"/>
    <x v="3"/>
    <x v="3"/>
    <x v="3"/>
    <x v="34"/>
    <x v="58"/>
    <x v="0"/>
    <x v="141"/>
    <x v="0"/>
    <x v="0"/>
    <x v="0"/>
  </r>
  <r>
    <x v="144"/>
    <x v="82"/>
    <x v="2"/>
    <x v="7"/>
    <x v="5"/>
    <x v="25"/>
    <x v="143"/>
    <x v="0"/>
    <x v="142"/>
    <x v="0"/>
    <x v="0"/>
    <x v="0"/>
  </r>
  <r>
    <x v="145"/>
    <x v="82"/>
    <x v="4"/>
    <x v="8"/>
    <x v="7"/>
    <x v="51"/>
    <x v="144"/>
    <x v="0"/>
    <x v="143"/>
    <x v="1"/>
    <x v="1"/>
    <x v="0"/>
  </r>
  <r>
    <x v="146"/>
    <x v="83"/>
    <x v="0"/>
    <x v="0"/>
    <x v="10"/>
    <x v="4"/>
    <x v="145"/>
    <x v="0"/>
    <x v="144"/>
    <x v="0"/>
    <x v="0"/>
    <x v="0"/>
  </r>
  <r>
    <x v="147"/>
    <x v="84"/>
    <x v="1"/>
    <x v="9"/>
    <x v="3"/>
    <x v="35"/>
    <x v="146"/>
    <x v="0"/>
    <x v="145"/>
    <x v="2"/>
    <x v="2"/>
    <x v="0"/>
  </r>
  <r>
    <x v="148"/>
    <x v="84"/>
    <x v="2"/>
    <x v="5"/>
    <x v="5"/>
    <x v="6"/>
    <x v="147"/>
    <x v="0"/>
    <x v="146"/>
    <x v="0"/>
    <x v="0"/>
    <x v="0"/>
  </r>
  <r>
    <x v="149"/>
    <x v="84"/>
    <x v="1"/>
    <x v="1"/>
    <x v="3"/>
    <x v="42"/>
    <x v="148"/>
    <x v="1"/>
    <x v="147"/>
    <x v="0"/>
    <x v="0"/>
    <x v="0"/>
  </r>
  <r>
    <x v="150"/>
    <x v="84"/>
    <x v="1"/>
    <x v="9"/>
    <x v="1"/>
    <x v="38"/>
    <x v="149"/>
    <x v="0"/>
    <x v="148"/>
    <x v="2"/>
    <x v="2"/>
    <x v="0"/>
  </r>
  <r>
    <x v="151"/>
    <x v="85"/>
    <x v="4"/>
    <x v="8"/>
    <x v="4"/>
    <x v="36"/>
    <x v="150"/>
    <x v="0"/>
    <x v="149"/>
    <x v="1"/>
    <x v="1"/>
    <x v="0"/>
  </r>
  <r>
    <x v="152"/>
    <x v="86"/>
    <x v="3"/>
    <x v="3"/>
    <x v="3"/>
    <x v="36"/>
    <x v="151"/>
    <x v="1"/>
    <x v="150"/>
    <x v="1"/>
    <x v="1"/>
    <x v="0"/>
  </r>
  <r>
    <x v="153"/>
    <x v="87"/>
    <x v="2"/>
    <x v="7"/>
    <x v="5"/>
    <x v="13"/>
    <x v="152"/>
    <x v="0"/>
    <x v="151"/>
    <x v="0"/>
    <x v="0"/>
    <x v="0"/>
  </r>
  <r>
    <x v="154"/>
    <x v="87"/>
    <x v="3"/>
    <x v="3"/>
    <x v="6"/>
    <x v="4"/>
    <x v="153"/>
    <x v="0"/>
    <x v="152"/>
    <x v="0"/>
    <x v="0"/>
    <x v="0"/>
  </r>
  <r>
    <x v="155"/>
    <x v="88"/>
    <x v="1"/>
    <x v="9"/>
    <x v="3"/>
    <x v="44"/>
    <x v="154"/>
    <x v="0"/>
    <x v="153"/>
    <x v="2"/>
    <x v="2"/>
    <x v="0"/>
  </r>
  <r>
    <x v="156"/>
    <x v="88"/>
    <x v="1"/>
    <x v="9"/>
    <x v="1"/>
    <x v="22"/>
    <x v="155"/>
    <x v="0"/>
    <x v="154"/>
    <x v="2"/>
    <x v="2"/>
    <x v="0"/>
  </r>
  <r>
    <x v="157"/>
    <x v="88"/>
    <x v="2"/>
    <x v="2"/>
    <x v="5"/>
    <x v="45"/>
    <x v="156"/>
    <x v="0"/>
    <x v="155"/>
    <x v="2"/>
    <x v="2"/>
    <x v="0"/>
  </r>
  <r>
    <x v="158"/>
    <x v="89"/>
    <x v="4"/>
    <x v="4"/>
    <x v="9"/>
    <x v="1"/>
    <x v="157"/>
    <x v="0"/>
    <x v="156"/>
    <x v="0"/>
    <x v="0"/>
    <x v="0"/>
  </r>
  <r>
    <x v="159"/>
    <x v="89"/>
    <x v="3"/>
    <x v="3"/>
    <x v="11"/>
    <x v="11"/>
    <x v="158"/>
    <x v="0"/>
    <x v="157"/>
    <x v="0"/>
    <x v="0"/>
    <x v="0"/>
  </r>
  <r>
    <x v="160"/>
    <x v="90"/>
    <x v="2"/>
    <x v="7"/>
    <x v="6"/>
    <x v="11"/>
    <x v="159"/>
    <x v="0"/>
    <x v="158"/>
    <x v="0"/>
    <x v="0"/>
    <x v="0"/>
  </r>
  <r>
    <x v="161"/>
    <x v="90"/>
    <x v="4"/>
    <x v="4"/>
    <x v="7"/>
    <x v="0"/>
    <x v="160"/>
    <x v="0"/>
    <x v="159"/>
    <x v="0"/>
    <x v="0"/>
    <x v="0"/>
  </r>
  <r>
    <x v="162"/>
    <x v="91"/>
    <x v="2"/>
    <x v="5"/>
    <x v="6"/>
    <x v="42"/>
    <x v="161"/>
    <x v="0"/>
    <x v="160"/>
    <x v="0"/>
    <x v="0"/>
    <x v="0"/>
  </r>
  <r>
    <x v="163"/>
    <x v="92"/>
    <x v="3"/>
    <x v="3"/>
    <x v="11"/>
    <x v="49"/>
    <x v="162"/>
    <x v="0"/>
    <x v="161"/>
    <x v="0"/>
    <x v="0"/>
    <x v="0"/>
  </r>
  <r>
    <x v="164"/>
    <x v="93"/>
    <x v="0"/>
    <x v="0"/>
    <x v="0"/>
    <x v="35"/>
    <x v="163"/>
    <x v="0"/>
    <x v="162"/>
    <x v="2"/>
    <x v="2"/>
    <x v="0"/>
  </r>
  <r>
    <x v="165"/>
    <x v="93"/>
    <x v="0"/>
    <x v="10"/>
    <x v="10"/>
    <x v="8"/>
    <x v="164"/>
    <x v="0"/>
    <x v="163"/>
    <x v="0"/>
    <x v="0"/>
    <x v="0"/>
  </r>
  <r>
    <x v="166"/>
    <x v="93"/>
    <x v="1"/>
    <x v="1"/>
    <x v="3"/>
    <x v="8"/>
    <x v="165"/>
    <x v="0"/>
    <x v="164"/>
    <x v="0"/>
    <x v="0"/>
    <x v="0"/>
  </r>
  <r>
    <x v="167"/>
    <x v="94"/>
    <x v="3"/>
    <x v="3"/>
    <x v="11"/>
    <x v="20"/>
    <x v="166"/>
    <x v="0"/>
    <x v="165"/>
    <x v="0"/>
    <x v="0"/>
    <x v="0"/>
  </r>
  <r>
    <x v="168"/>
    <x v="95"/>
    <x v="2"/>
    <x v="7"/>
    <x v="2"/>
    <x v="17"/>
    <x v="167"/>
    <x v="0"/>
    <x v="166"/>
    <x v="0"/>
    <x v="0"/>
    <x v="0"/>
  </r>
  <r>
    <x v="169"/>
    <x v="95"/>
    <x v="3"/>
    <x v="6"/>
    <x v="11"/>
    <x v="15"/>
    <x v="168"/>
    <x v="0"/>
    <x v="167"/>
    <x v="0"/>
    <x v="0"/>
    <x v="0"/>
  </r>
  <r>
    <x v="170"/>
    <x v="95"/>
    <x v="1"/>
    <x v="1"/>
    <x v="8"/>
    <x v="18"/>
    <x v="169"/>
    <x v="0"/>
    <x v="168"/>
    <x v="0"/>
    <x v="0"/>
    <x v="0"/>
  </r>
  <r>
    <x v="171"/>
    <x v="95"/>
    <x v="1"/>
    <x v="1"/>
    <x v="8"/>
    <x v="20"/>
    <x v="170"/>
    <x v="1"/>
    <x v="169"/>
    <x v="0"/>
    <x v="0"/>
    <x v="0"/>
  </r>
  <r>
    <x v="172"/>
    <x v="96"/>
    <x v="3"/>
    <x v="3"/>
    <x v="11"/>
    <x v="18"/>
    <x v="171"/>
    <x v="0"/>
    <x v="170"/>
    <x v="0"/>
    <x v="0"/>
    <x v="0"/>
  </r>
  <r>
    <x v="173"/>
    <x v="97"/>
    <x v="2"/>
    <x v="5"/>
    <x v="5"/>
    <x v="25"/>
    <x v="172"/>
    <x v="0"/>
    <x v="171"/>
    <x v="0"/>
    <x v="0"/>
    <x v="0"/>
  </r>
  <r>
    <x v="174"/>
    <x v="98"/>
    <x v="2"/>
    <x v="7"/>
    <x v="5"/>
    <x v="0"/>
    <x v="173"/>
    <x v="0"/>
    <x v="172"/>
    <x v="0"/>
    <x v="0"/>
    <x v="0"/>
  </r>
  <r>
    <x v="175"/>
    <x v="98"/>
    <x v="0"/>
    <x v="10"/>
    <x v="4"/>
    <x v="14"/>
    <x v="174"/>
    <x v="0"/>
    <x v="173"/>
    <x v="0"/>
    <x v="0"/>
    <x v="0"/>
  </r>
  <r>
    <x v="176"/>
    <x v="98"/>
    <x v="0"/>
    <x v="0"/>
    <x v="0"/>
    <x v="12"/>
    <x v="175"/>
    <x v="0"/>
    <x v="174"/>
    <x v="0"/>
    <x v="0"/>
    <x v="0"/>
  </r>
  <r>
    <x v="177"/>
    <x v="99"/>
    <x v="3"/>
    <x v="3"/>
    <x v="3"/>
    <x v="0"/>
    <x v="176"/>
    <x v="0"/>
    <x v="175"/>
    <x v="0"/>
    <x v="0"/>
    <x v="0"/>
  </r>
  <r>
    <x v="178"/>
    <x v="100"/>
    <x v="0"/>
    <x v="0"/>
    <x v="10"/>
    <x v="52"/>
    <x v="177"/>
    <x v="0"/>
    <x v="176"/>
    <x v="1"/>
    <x v="1"/>
    <x v="0"/>
  </r>
  <r>
    <x v="179"/>
    <x v="100"/>
    <x v="2"/>
    <x v="5"/>
    <x v="2"/>
    <x v="8"/>
    <x v="178"/>
    <x v="0"/>
    <x v="177"/>
    <x v="0"/>
    <x v="0"/>
    <x v="0"/>
  </r>
  <r>
    <x v="180"/>
    <x v="101"/>
    <x v="0"/>
    <x v="10"/>
    <x v="4"/>
    <x v="53"/>
    <x v="179"/>
    <x v="0"/>
    <x v="178"/>
    <x v="2"/>
    <x v="2"/>
    <x v="0"/>
  </r>
  <r>
    <x v="181"/>
    <x v="102"/>
    <x v="2"/>
    <x v="5"/>
    <x v="5"/>
    <x v="24"/>
    <x v="180"/>
    <x v="0"/>
    <x v="179"/>
    <x v="1"/>
    <x v="1"/>
    <x v="0"/>
  </r>
  <r>
    <x v="182"/>
    <x v="103"/>
    <x v="1"/>
    <x v="9"/>
    <x v="8"/>
    <x v="5"/>
    <x v="181"/>
    <x v="0"/>
    <x v="180"/>
    <x v="2"/>
    <x v="2"/>
    <x v="0"/>
  </r>
  <r>
    <x v="183"/>
    <x v="104"/>
    <x v="3"/>
    <x v="6"/>
    <x v="6"/>
    <x v="20"/>
    <x v="182"/>
    <x v="0"/>
    <x v="181"/>
    <x v="0"/>
    <x v="0"/>
    <x v="0"/>
  </r>
  <r>
    <x v="184"/>
    <x v="104"/>
    <x v="1"/>
    <x v="9"/>
    <x v="1"/>
    <x v="22"/>
    <x v="183"/>
    <x v="0"/>
    <x v="182"/>
    <x v="2"/>
    <x v="2"/>
    <x v="0"/>
  </r>
  <r>
    <x v="185"/>
    <x v="105"/>
    <x v="1"/>
    <x v="1"/>
    <x v="3"/>
    <x v="8"/>
    <x v="184"/>
    <x v="0"/>
    <x v="183"/>
    <x v="0"/>
    <x v="0"/>
    <x v="0"/>
  </r>
  <r>
    <x v="186"/>
    <x v="106"/>
    <x v="2"/>
    <x v="2"/>
    <x v="2"/>
    <x v="14"/>
    <x v="185"/>
    <x v="0"/>
    <x v="184"/>
    <x v="0"/>
    <x v="0"/>
    <x v="0"/>
  </r>
  <r>
    <x v="187"/>
    <x v="107"/>
    <x v="3"/>
    <x v="3"/>
    <x v="6"/>
    <x v="5"/>
    <x v="186"/>
    <x v="0"/>
    <x v="185"/>
    <x v="2"/>
    <x v="2"/>
    <x v="0"/>
  </r>
  <r>
    <x v="188"/>
    <x v="108"/>
    <x v="2"/>
    <x v="5"/>
    <x v="6"/>
    <x v="14"/>
    <x v="187"/>
    <x v="0"/>
    <x v="186"/>
    <x v="0"/>
    <x v="0"/>
    <x v="0"/>
  </r>
  <r>
    <x v="189"/>
    <x v="108"/>
    <x v="4"/>
    <x v="8"/>
    <x v="7"/>
    <x v="46"/>
    <x v="188"/>
    <x v="0"/>
    <x v="187"/>
    <x v="4"/>
    <x v="4"/>
    <x v="0"/>
  </r>
  <r>
    <x v="190"/>
    <x v="109"/>
    <x v="0"/>
    <x v="0"/>
    <x v="10"/>
    <x v="39"/>
    <x v="189"/>
    <x v="0"/>
    <x v="188"/>
    <x v="2"/>
    <x v="2"/>
    <x v="0"/>
  </r>
  <r>
    <x v="191"/>
    <x v="110"/>
    <x v="1"/>
    <x v="9"/>
    <x v="8"/>
    <x v="44"/>
    <x v="190"/>
    <x v="0"/>
    <x v="189"/>
    <x v="2"/>
    <x v="2"/>
    <x v="0"/>
  </r>
  <r>
    <x v="192"/>
    <x v="111"/>
    <x v="3"/>
    <x v="6"/>
    <x v="3"/>
    <x v="5"/>
    <x v="191"/>
    <x v="0"/>
    <x v="190"/>
    <x v="2"/>
    <x v="2"/>
    <x v="0"/>
  </r>
  <r>
    <x v="193"/>
    <x v="111"/>
    <x v="1"/>
    <x v="1"/>
    <x v="3"/>
    <x v="14"/>
    <x v="192"/>
    <x v="1"/>
    <x v="191"/>
    <x v="0"/>
    <x v="0"/>
    <x v="0"/>
  </r>
  <r>
    <x v="194"/>
    <x v="111"/>
    <x v="3"/>
    <x v="3"/>
    <x v="6"/>
    <x v="17"/>
    <x v="193"/>
    <x v="0"/>
    <x v="192"/>
    <x v="0"/>
    <x v="0"/>
    <x v="0"/>
  </r>
  <r>
    <x v="195"/>
    <x v="111"/>
    <x v="4"/>
    <x v="8"/>
    <x v="4"/>
    <x v="54"/>
    <x v="194"/>
    <x v="0"/>
    <x v="193"/>
    <x v="4"/>
    <x v="4"/>
    <x v="0"/>
  </r>
  <r>
    <x v="196"/>
    <x v="112"/>
    <x v="4"/>
    <x v="8"/>
    <x v="4"/>
    <x v="29"/>
    <x v="195"/>
    <x v="0"/>
    <x v="194"/>
    <x v="1"/>
    <x v="1"/>
    <x v="0"/>
  </r>
  <r>
    <x v="197"/>
    <x v="113"/>
    <x v="3"/>
    <x v="6"/>
    <x v="11"/>
    <x v="20"/>
    <x v="196"/>
    <x v="0"/>
    <x v="195"/>
    <x v="0"/>
    <x v="0"/>
    <x v="0"/>
  </r>
  <r>
    <x v="198"/>
    <x v="113"/>
    <x v="2"/>
    <x v="7"/>
    <x v="6"/>
    <x v="23"/>
    <x v="197"/>
    <x v="0"/>
    <x v="196"/>
    <x v="2"/>
    <x v="2"/>
    <x v="0"/>
  </r>
  <r>
    <x v="199"/>
    <x v="114"/>
    <x v="1"/>
    <x v="9"/>
    <x v="8"/>
    <x v="4"/>
    <x v="198"/>
    <x v="0"/>
    <x v="197"/>
    <x v="0"/>
    <x v="0"/>
    <x v="0"/>
  </r>
  <r>
    <x v="200"/>
    <x v="115"/>
    <x v="2"/>
    <x v="5"/>
    <x v="5"/>
    <x v="42"/>
    <x v="199"/>
    <x v="0"/>
    <x v="198"/>
    <x v="0"/>
    <x v="0"/>
    <x v="0"/>
  </r>
  <r>
    <x v="201"/>
    <x v="115"/>
    <x v="2"/>
    <x v="5"/>
    <x v="5"/>
    <x v="13"/>
    <x v="200"/>
    <x v="0"/>
    <x v="199"/>
    <x v="0"/>
    <x v="0"/>
    <x v="0"/>
  </r>
  <r>
    <x v="202"/>
    <x v="116"/>
    <x v="4"/>
    <x v="4"/>
    <x v="4"/>
    <x v="55"/>
    <x v="201"/>
    <x v="1"/>
    <x v="200"/>
    <x v="4"/>
    <x v="4"/>
    <x v="0"/>
  </r>
  <r>
    <x v="203"/>
    <x v="117"/>
    <x v="4"/>
    <x v="8"/>
    <x v="9"/>
    <x v="43"/>
    <x v="202"/>
    <x v="0"/>
    <x v="201"/>
    <x v="4"/>
    <x v="4"/>
    <x v="0"/>
  </r>
  <r>
    <x v="204"/>
    <x v="117"/>
    <x v="2"/>
    <x v="7"/>
    <x v="5"/>
    <x v="56"/>
    <x v="203"/>
    <x v="0"/>
    <x v="202"/>
    <x v="1"/>
    <x v="1"/>
    <x v="0"/>
  </r>
  <r>
    <x v="205"/>
    <x v="117"/>
    <x v="4"/>
    <x v="4"/>
    <x v="7"/>
    <x v="51"/>
    <x v="204"/>
    <x v="0"/>
    <x v="203"/>
    <x v="1"/>
    <x v="1"/>
    <x v="0"/>
  </r>
  <r>
    <x v="206"/>
    <x v="118"/>
    <x v="3"/>
    <x v="3"/>
    <x v="6"/>
    <x v="11"/>
    <x v="205"/>
    <x v="0"/>
    <x v="204"/>
    <x v="0"/>
    <x v="0"/>
    <x v="0"/>
  </r>
  <r>
    <x v="207"/>
    <x v="118"/>
    <x v="2"/>
    <x v="2"/>
    <x v="6"/>
    <x v="3"/>
    <x v="206"/>
    <x v="0"/>
    <x v="205"/>
    <x v="1"/>
    <x v="1"/>
    <x v="0"/>
  </r>
  <r>
    <x v="208"/>
    <x v="118"/>
    <x v="3"/>
    <x v="3"/>
    <x v="6"/>
    <x v="11"/>
    <x v="207"/>
    <x v="0"/>
    <x v="206"/>
    <x v="0"/>
    <x v="0"/>
    <x v="0"/>
  </r>
  <r>
    <x v="209"/>
    <x v="118"/>
    <x v="1"/>
    <x v="1"/>
    <x v="3"/>
    <x v="15"/>
    <x v="208"/>
    <x v="0"/>
    <x v="207"/>
    <x v="0"/>
    <x v="0"/>
    <x v="0"/>
  </r>
  <r>
    <x v="210"/>
    <x v="118"/>
    <x v="3"/>
    <x v="3"/>
    <x v="11"/>
    <x v="51"/>
    <x v="209"/>
    <x v="1"/>
    <x v="208"/>
    <x v="1"/>
    <x v="1"/>
    <x v="0"/>
  </r>
  <r>
    <x v="211"/>
    <x v="119"/>
    <x v="0"/>
    <x v="10"/>
    <x v="4"/>
    <x v="6"/>
    <x v="210"/>
    <x v="0"/>
    <x v="209"/>
    <x v="0"/>
    <x v="0"/>
    <x v="0"/>
  </r>
  <r>
    <x v="212"/>
    <x v="119"/>
    <x v="2"/>
    <x v="2"/>
    <x v="6"/>
    <x v="14"/>
    <x v="211"/>
    <x v="0"/>
    <x v="210"/>
    <x v="0"/>
    <x v="0"/>
    <x v="0"/>
  </r>
  <r>
    <x v="213"/>
    <x v="119"/>
    <x v="3"/>
    <x v="6"/>
    <x v="11"/>
    <x v="49"/>
    <x v="212"/>
    <x v="0"/>
    <x v="211"/>
    <x v="0"/>
    <x v="0"/>
    <x v="0"/>
  </r>
  <r>
    <x v="214"/>
    <x v="119"/>
    <x v="1"/>
    <x v="9"/>
    <x v="8"/>
    <x v="8"/>
    <x v="213"/>
    <x v="0"/>
    <x v="212"/>
    <x v="0"/>
    <x v="0"/>
    <x v="0"/>
  </r>
  <r>
    <x v="215"/>
    <x v="120"/>
    <x v="2"/>
    <x v="7"/>
    <x v="6"/>
    <x v="53"/>
    <x v="214"/>
    <x v="0"/>
    <x v="213"/>
    <x v="2"/>
    <x v="2"/>
    <x v="0"/>
  </r>
  <r>
    <x v="216"/>
    <x v="121"/>
    <x v="2"/>
    <x v="2"/>
    <x v="5"/>
    <x v="20"/>
    <x v="215"/>
    <x v="0"/>
    <x v="214"/>
    <x v="0"/>
    <x v="0"/>
    <x v="0"/>
  </r>
  <r>
    <x v="217"/>
    <x v="122"/>
    <x v="1"/>
    <x v="1"/>
    <x v="3"/>
    <x v="5"/>
    <x v="216"/>
    <x v="0"/>
    <x v="215"/>
    <x v="2"/>
    <x v="2"/>
    <x v="0"/>
  </r>
  <r>
    <x v="218"/>
    <x v="122"/>
    <x v="1"/>
    <x v="9"/>
    <x v="1"/>
    <x v="25"/>
    <x v="217"/>
    <x v="1"/>
    <x v="216"/>
    <x v="0"/>
    <x v="0"/>
    <x v="0"/>
  </r>
  <r>
    <x v="219"/>
    <x v="123"/>
    <x v="1"/>
    <x v="9"/>
    <x v="1"/>
    <x v="22"/>
    <x v="218"/>
    <x v="0"/>
    <x v="217"/>
    <x v="2"/>
    <x v="2"/>
    <x v="0"/>
  </r>
  <r>
    <x v="220"/>
    <x v="123"/>
    <x v="0"/>
    <x v="10"/>
    <x v="10"/>
    <x v="11"/>
    <x v="219"/>
    <x v="0"/>
    <x v="218"/>
    <x v="0"/>
    <x v="0"/>
    <x v="0"/>
  </r>
  <r>
    <x v="221"/>
    <x v="123"/>
    <x v="4"/>
    <x v="8"/>
    <x v="9"/>
    <x v="49"/>
    <x v="220"/>
    <x v="0"/>
    <x v="219"/>
    <x v="0"/>
    <x v="0"/>
    <x v="0"/>
  </r>
  <r>
    <x v="222"/>
    <x v="124"/>
    <x v="0"/>
    <x v="0"/>
    <x v="0"/>
    <x v="14"/>
    <x v="221"/>
    <x v="0"/>
    <x v="220"/>
    <x v="0"/>
    <x v="0"/>
    <x v="0"/>
  </r>
  <r>
    <x v="223"/>
    <x v="125"/>
    <x v="3"/>
    <x v="3"/>
    <x v="11"/>
    <x v="6"/>
    <x v="222"/>
    <x v="0"/>
    <x v="221"/>
    <x v="0"/>
    <x v="0"/>
    <x v="0"/>
  </r>
  <r>
    <x v="224"/>
    <x v="126"/>
    <x v="0"/>
    <x v="0"/>
    <x v="10"/>
    <x v="44"/>
    <x v="223"/>
    <x v="0"/>
    <x v="222"/>
    <x v="2"/>
    <x v="2"/>
    <x v="0"/>
  </r>
  <r>
    <x v="225"/>
    <x v="126"/>
    <x v="4"/>
    <x v="8"/>
    <x v="7"/>
    <x v="57"/>
    <x v="224"/>
    <x v="0"/>
    <x v="223"/>
    <x v="4"/>
    <x v="4"/>
    <x v="0"/>
  </r>
  <r>
    <x v="226"/>
    <x v="126"/>
    <x v="0"/>
    <x v="0"/>
    <x v="10"/>
    <x v="27"/>
    <x v="225"/>
    <x v="1"/>
    <x v="224"/>
    <x v="1"/>
    <x v="1"/>
    <x v="0"/>
  </r>
  <r>
    <x v="227"/>
    <x v="127"/>
    <x v="2"/>
    <x v="2"/>
    <x v="2"/>
    <x v="56"/>
    <x v="226"/>
    <x v="0"/>
    <x v="225"/>
    <x v="1"/>
    <x v="1"/>
    <x v="0"/>
  </r>
  <r>
    <x v="228"/>
    <x v="128"/>
    <x v="3"/>
    <x v="3"/>
    <x v="6"/>
    <x v="15"/>
    <x v="227"/>
    <x v="0"/>
    <x v="226"/>
    <x v="0"/>
    <x v="0"/>
    <x v="0"/>
  </r>
  <r>
    <x v="229"/>
    <x v="129"/>
    <x v="4"/>
    <x v="4"/>
    <x v="9"/>
    <x v="21"/>
    <x v="228"/>
    <x v="0"/>
    <x v="102"/>
    <x v="2"/>
    <x v="2"/>
    <x v="0"/>
  </r>
  <r>
    <x v="230"/>
    <x v="130"/>
    <x v="3"/>
    <x v="3"/>
    <x v="6"/>
    <x v="5"/>
    <x v="229"/>
    <x v="0"/>
    <x v="227"/>
    <x v="2"/>
    <x v="2"/>
    <x v="0"/>
  </r>
  <r>
    <x v="231"/>
    <x v="131"/>
    <x v="1"/>
    <x v="9"/>
    <x v="8"/>
    <x v="32"/>
    <x v="230"/>
    <x v="1"/>
    <x v="228"/>
    <x v="0"/>
    <x v="0"/>
    <x v="0"/>
  </r>
  <r>
    <x v="232"/>
    <x v="132"/>
    <x v="1"/>
    <x v="1"/>
    <x v="1"/>
    <x v="34"/>
    <x v="231"/>
    <x v="0"/>
    <x v="229"/>
    <x v="0"/>
    <x v="0"/>
    <x v="0"/>
  </r>
  <r>
    <x v="233"/>
    <x v="133"/>
    <x v="3"/>
    <x v="3"/>
    <x v="11"/>
    <x v="34"/>
    <x v="232"/>
    <x v="0"/>
    <x v="230"/>
    <x v="0"/>
    <x v="0"/>
    <x v="0"/>
  </r>
  <r>
    <x v="234"/>
    <x v="134"/>
    <x v="0"/>
    <x v="0"/>
    <x v="10"/>
    <x v="6"/>
    <x v="233"/>
    <x v="0"/>
    <x v="231"/>
    <x v="0"/>
    <x v="0"/>
    <x v="0"/>
  </r>
  <r>
    <x v="235"/>
    <x v="134"/>
    <x v="1"/>
    <x v="1"/>
    <x v="8"/>
    <x v="45"/>
    <x v="234"/>
    <x v="0"/>
    <x v="232"/>
    <x v="2"/>
    <x v="2"/>
    <x v="0"/>
  </r>
  <r>
    <x v="236"/>
    <x v="134"/>
    <x v="0"/>
    <x v="10"/>
    <x v="4"/>
    <x v="13"/>
    <x v="235"/>
    <x v="0"/>
    <x v="233"/>
    <x v="0"/>
    <x v="0"/>
    <x v="0"/>
  </r>
  <r>
    <x v="237"/>
    <x v="135"/>
    <x v="3"/>
    <x v="6"/>
    <x v="11"/>
    <x v="39"/>
    <x v="236"/>
    <x v="0"/>
    <x v="234"/>
    <x v="2"/>
    <x v="2"/>
    <x v="0"/>
  </r>
  <r>
    <x v="238"/>
    <x v="136"/>
    <x v="1"/>
    <x v="1"/>
    <x v="3"/>
    <x v="38"/>
    <x v="237"/>
    <x v="0"/>
    <x v="235"/>
    <x v="2"/>
    <x v="2"/>
    <x v="0"/>
  </r>
  <r>
    <x v="239"/>
    <x v="136"/>
    <x v="2"/>
    <x v="5"/>
    <x v="6"/>
    <x v="52"/>
    <x v="238"/>
    <x v="0"/>
    <x v="236"/>
    <x v="1"/>
    <x v="1"/>
    <x v="0"/>
  </r>
  <r>
    <x v="240"/>
    <x v="137"/>
    <x v="3"/>
    <x v="6"/>
    <x v="11"/>
    <x v="42"/>
    <x v="239"/>
    <x v="0"/>
    <x v="237"/>
    <x v="0"/>
    <x v="0"/>
    <x v="0"/>
  </r>
  <r>
    <x v="241"/>
    <x v="137"/>
    <x v="0"/>
    <x v="0"/>
    <x v="4"/>
    <x v="58"/>
    <x v="240"/>
    <x v="1"/>
    <x v="238"/>
    <x v="1"/>
    <x v="1"/>
    <x v="0"/>
  </r>
  <r>
    <x v="242"/>
    <x v="137"/>
    <x v="2"/>
    <x v="5"/>
    <x v="5"/>
    <x v="14"/>
    <x v="241"/>
    <x v="0"/>
    <x v="239"/>
    <x v="0"/>
    <x v="0"/>
    <x v="0"/>
  </r>
  <r>
    <x v="243"/>
    <x v="138"/>
    <x v="0"/>
    <x v="10"/>
    <x v="10"/>
    <x v="35"/>
    <x v="32"/>
    <x v="0"/>
    <x v="240"/>
    <x v="2"/>
    <x v="2"/>
    <x v="0"/>
  </r>
  <r>
    <x v="244"/>
    <x v="139"/>
    <x v="2"/>
    <x v="5"/>
    <x v="5"/>
    <x v="32"/>
    <x v="242"/>
    <x v="0"/>
    <x v="241"/>
    <x v="0"/>
    <x v="0"/>
    <x v="0"/>
  </r>
  <r>
    <x v="245"/>
    <x v="140"/>
    <x v="4"/>
    <x v="8"/>
    <x v="9"/>
    <x v="22"/>
    <x v="243"/>
    <x v="0"/>
    <x v="242"/>
    <x v="2"/>
    <x v="2"/>
    <x v="0"/>
  </r>
  <r>
    <x v="246"/>
    <x v="141"/>
    <x v="3"/>
    <x v="6"/>
    <x v="11"/>
    <x v="5"/>
    <x v="244"/>
    <x v="0"/>
    <x v="243"/>
    <x v="2"/>
    <x v="2"/>
    <x v="0"/>
  </r>
  <r>
    <x v="247"/>
    <x v="142"/>
    <x v="3"/>
    <x v="6"/>
    <x v="3"/>
    <x v="17"/>
    <x v="245"/>
    <x v="0"/>
    <x v="244"/>
    <x v="0"/>
    <x v="0"/>
    <x v="0"/>
  </r>
  <r>
    <x v="248"/>
    <x v="143"/>
    <x v="3"/>
    <x v="6"/>
    <x v="3"/>
    <x v="16"/>
    <x v="246"/>
    <x v="0"/>
    <x v="245"/>
    <x v="2"/>
    <x v="2"/>
    <x v="0"/>
  </r>
  <r>
    <x v="249"/>
    <x v="143"/>
    <x v="3"/>
    <x v="3"/>
    <x v="6"/>
    <x v="4"/>
    <x v="247"/>
    <x v="0"/>
    <x v="246"/>
    <x v="0"/>
    <x v="0"/>
    <x v="0"/>
  </r>
  <r>
    <x v="250"/>
    <x v="144"/>
    <x v="1"/>
    <x v="1"/>
    <x v="8"/>
    <x v="12"/>
    <x v="248"/>
    <x v="0"/>
    <x v="247"/>
    <x v="0"/>
    <x v="0"/>
    <x v="0"/>
  </r>
  <r>
    <x v="251"/>
    <x v="145"/>
    <x v="1"/>
    <x v="9"/>
    <x v="1"/>
    <x v="1"/>
    <x v="249"/>
    <x v="1"/>
    <x v="248"/>
    <x v="0"/>
    <x v="0"/>
    <x v="0"/>
  </r>
  <r>
    <x v="252"/>
    <x v="146"/>
    <x v="2"/>
    <x v="5"/>
    <x v="2"/>
    <x v="52"/>
    <x v="250"/>
    <x v="0"/>
    <x v="249"/>
    <x v="1"/>
    <x v="1"/>
    <x v="0"/>
  </r>
  <r>
    <x v="253"/>
    <x v="147"/>
    <x v="1"/>
    <x v="9"/>
    <x v="8"/>
    <x v="15"/>
    <x v="251"/>
    <x v="0"/>
    <x v="250"/>
    <x v="0"/>
    <x v="0"/>
    <x v="0"/>
  </r>
  <r>
    <x v="254"/>
    <x v="147"/>
    <x v="3"/>
    <x v="3"/>
    <x v="3"/>
    <x v="0"/>
    <x v="252"/>
    <x v="0"/>
    <x v="251"/>
    <x v="0"/>
    <x v="0"/>
    <x v="0"/>
  </r>
  <r>
    <x v="255"/>
    <x v="148"/>
    <x v="1"/>
    <x v="1"/>
    <x v="1"/>
    <x v="35"/>
    <x v="253"/>
    <x v="0"/>
    <x v="252"/>
    <x v="2"/>
    <x v="2"/>
    <x v="0"/>
  </r>
  <r>
    <x v="256"/>
    <x v="149"/>
    <x v="1"/>
    <x v="9"/>
    <x v="8"/>
    <x v="6"/>
    <x v="254"/>
    <x v="0"/>
    <x v="253"/>
    <x v="0"/>
    <x v="0"/>
    <x v="0"/>
  </r>
  <r>
    <x v="257"/>
    <x v="149"/>
    <x v="3"/>
    <x v="3"/>
    <x v="11"/>
    <x v="33"/>
    <x v="255"/>
    <x v="0"/>
    <x v="254"/>
    <x v="2"/>
    <x v="2"/>
    <x v="0"/>
  </r>
  <r>
    <x v="258"/>
    <x v="150"/>
    <x v="0"/>
    <x v="0"/>
    <x v="10"/>
    <x v="17"/>
    <x v="256"/>
    <x v="0"/>
    <x v="255"/>
    <x v="0"/>
    <x v="0"/>
    <x v="0"/>
  </r>
  <r>
    <x v="259"/>
    <x v="151"/>
    <x v="3"/>
    <x v="6"/>
    <x v="11"/>
    <x v="6"/>
    <x v="257"/>
    <x v="0"/>
    <x v="256"/>
    <x v="0"/>
    <x v="0"/>
    <x v="0"/>
  </r>
  <r>
    <x v="260"/>
    <x v="152"/>
    <x v="0"/>
    <x v="10"/>
    <x v="10"/>
    <x v="34"/>
    <x v="258"/>
    <x v="0"/>
    <x v="257"/>
    <x v="0"/>
    <x v="0"/>
    <x v="0"/>
  </r>
  <r>
    <x v="261"/>
    <x v="153"/>
    <x v="2"/>
    <x v="7"/>
    <x v="2"/>
    <x v="36"/>
    <x v="259"/>
    <x v="0"/>
    <x v="258"/>
    <x v="1"/>
    <x v="1"/>
    <x v="0"/>
  </r>
  <r>
    <x v="262"/>
    <x v="153"/>
    <x v="2"/>
    <x v="5"/>
    <x v="5"/>
    <x v="6"/>
    <x v="260"/>
    <x v="0"/>
    <x v="259"/>
    <x v="0"/>
    <x v="0"/>
    <x v="0"/>
  </r>
  <r>
    <x v="263"/>
    <x v="153"/>
    <x v="2"/>
    <x v="2"/>
    <x v="5"/>
    <x v="49"/>
    <x v="261"/>
    <x v="0"/>
    <x v="260"/>
    <x v="0"/>
    <x v="0"/>
    <x v="0"/>
  </r>
  <r>
    <x v="264"/>
    <x v="153"/>
    <x v="4"/>
    <x v="8"/>
    <x v="9"/>
    <x v="50"/>
    <x v="262"/>
    <x v="0"/>
    <x v="261"/>
    <x v="4"/>
    <x v="4"/>
    <x v="0"/>
  </r>
  <r>
    <x v="265"/>
    <x v="154"/>
    <x v="2"/>
    <x v="7"/>
    <x v="5"/>
    <x v="25"/>
    <x v="263"/>
    <x v="0"/>
    <x v="262"/>
    <x v="0"/>
    <x v="0"/>
    <x v="0"/>
  </r>
  <r>
    <x v="266"/>
    <x v="155"/>
    <x v="2"/>
    <x v="2"/>
    <x v="5"/>
    <x v="49"/>
    <x v="264"/>
    <x v="0"/>
    <x v="263"/>
    <x v="0"/>
    <x v="0"/>
    <x v="0"/>
  </r>
  <r>
    <x v="267"/>
    <x v="155"/>
    <x v="3"/>
    <x v="3"/>
    <x v="11"/>
    <x v="26"/>
    <x v="265"/>
    <x v="1"/>
    <x v="264"/>
    <x v="1"/>
    <x v="1"/>
    <x v="0"/>
  </r>
  <r>
    <x v="268"/>
    <x v="156"/>
    <x v="2"/>
    <x v="7"/>
    <x v="6"/>
    <x v="20"/>
    <x v="266"/>
    <x v="0"/>
    <x v="265"/>
    <x v="0"/>
    <x v="0"/>
    <x v="0"/>
  </r>
  <r>
    <x v="269"/>
    <x v="157"/>
    <x v="3"/>
    <x v="6"/>
    <x v="11"/>
    <x v="19"/>
    <x v="267"/>
    <x v="0"/>
    <x v="266"/>
    <x v="0"/>
    <x v="0"/>
    <x v="0"/>
  </r>
  <r>
    <x v="270"/>
    <x v="158"/>
    <x v="2"/>
    <x v="7"/>
    <x v="2"/>
    <x v="11"/>
    <x v="268"/>
    <x v="0"/>
    <x v="267"/>
    <x v="0"/>
    <x v="0"/>
    <x v="0"/>
  </r>
  <r>
    <x v="271"/>
    <x v="159"/>
    <x v="1"/>
    <x v="9"/>
    <x v="8"/>
    <x v="33"/>
    <x v="269"/>
    <x v="0"/>
    <x v="268"/>
    <x v="2"/>
    <x v="2"/>
    <x v="0"/>
  </r>
  <r>
    <x v="272"/>
    <x v="160"/>
    <x v="1"/>
    <x v="1"/>
    <x v="1"/>
    <x v="34"/>
    <x v="270"/>
    <x v="0"/>
    <x v="269"/>
    <x v="0"/>
    <x v="0"/>
    <x v="0"/>
  </r>
  <r>
    <x v="273"/>
    <x v="160"/>
    <x v="2"/>
    <x v="2"/>
    <x v="2"/>
    <x v="13"/>
    <x v="271"/>
    <x v="0"/>
    <x v="270"/>
    <x v="0"/>
    <x v="0"/>
    <x v="0"/>
  </r>
  <r>
    <x v="274"/>
    <x v="160"/>
    <x v="2"/>
    <x v="2"/>
    <x v="6"/>
    <x v="20"/>
    <x v="272"/>
    <x v="0"/>
    <x v="271"/>
    <x v="0"/>
    <x v="0"/>
    <x v="0"/>
  </r>
  <r>
    <x v="275"/>
    <x v="160"/>
    <x v="2"/>
    <x v="7"/>
    <x v="5"/>
    <x v="27"/>
    <x v="273"/>
    <x v="0"/>
    <x v="272"/>
    <x v="1"/>
    <x v="1"/>
    <x v="0"/>
  </r>
  <r>
    <x v="276"/>
    <x v="161"/>
    <x v="2"/>
    <x v="7"/>
    <x v="6"/>
    <x v="45"/>
    <x v="274"/>
    <x v="0"/>
    <x v="273"/>
    <x v="2"/>
    <x v="2"/>
    <x v="0"/>
  </r>
  <r>
    <x v="277"/>
    <x v="162"/>
    <x v="2"/>
    <x v="5"/>
    <x v="2"/>
    <x v="56"/>
    <x v="275"/>
    <x v="0"/>
    <x v="274"/>
    <x v="1"/>
    <x v="1"/>
    <x v="0"/>
  </r>
  <r>
    <x v="278"/>
    <x v="163"/>
    <x v="0"/>
    <x v="10"/>
    <x v="0"/>
    <x v="11"/>
    <x v="276"/>
    <x v="0"/>
    <x v="275"/>
    <x v="0"/>
    <x v="0"/>
    <x v="0"/>
  </r>
  <r>
    <x v="279"/>
    <x v="163"/>
    <x v="2"/>
    <x v="5"/>
    <x v="6"/>
    <x v="59"/>
    <x v="277"/>
    <x v="1"/>
    <x v="276"/>
    <x v="4"/>
    <x v="4"/>
    <x v="0"/>
  </r>
  <r>
    <x v="280"/>
    <x v="164"/>
    <x v="0"/>
    <x v="10"/>
    <x v="10"/>
    <x v="6"/>
    <x v="278"/>
    <x v="0"/>
    <x v="277"/>
    <x v="0"/>
    <x v="0"/>
    <x v="0"/>
  </r>
  <r>
    <x v="281"/>
    <x v="164"/>
    <x v="1"/>
    <x v="1"/>
    <x v="8"/>
    <x v="35"/>
    <x v="279"/>
    <x v="0"/>
    <x v="278"/>
    <x v="2"/>
    <x v="2"/>
    <x v="0"/>
  </r>
  <r>
    <x v="282"/>
    <x v="164"/>
    <x v="2"/>
    <x v="5"/>
    <x v="2"/>
    <x v="34"/>
    <x v="280"/>
    <x v="0"/>
    <x v="279"/>
    <x v="0"/>
    <x v="0"/>
    <x v="0"/>
  </r>
  <r>
    <x v="283"/>
    <x v="165"/>
    <x v="4"/>
    <x v="8"/>
    <x v="7"/>
    <x v="60"/>
    <x v="281"/>
    <x v="0"/>
    <x v="280"/>
    <x v="1"/>
    <x v="1"/>
    <x v="0"/>
  </r>
  <r>
    <x v="284"/>
    <x v="166"/>
    <x v="0"/>
    <x v="10"/>
    <x v="10"/>
    <x v="4"/>
    <x v="282"/>
    <x v="0"/>
    <x v="281"/>
    <x v="0"/>
    <x v="0"/>
    <x v="0"/>
  </r>
  <r>
    <x v="285"/>
    <x v="166"/>
    <x v="2"/>
    <x v="7"/>
    <x v="2"/>
    <x v="40"/>
    <x v="283"/>
    <x v="0"/>
    <x v="282"/>
    <x v="1"/>
    <x v="1"/>
    <x v="0"/>
  </r>
  <r>
    <x v="286"/>
    <x v="166"/>
    <x v="3"/>
    <x v="6"/>
    <x v="6"/>
    <x v="19"/>
    <x v="284"/>
    <x v="0"/>
    <x v="283"/>
    <x v="0"/>
    <x v="0"/>
    <x v="0"/>
  </r>
  <r>
    <x v="287"/>
    <x v="167"/>
    <x v="4"/>
    <x v="8"/>
    <x v="7"/>
    <x v="61"/>
    <x v="285"/>
    <x v="1"/>
    <x v="284"/>
    <x v="4"/>
    <x v="4"/>
    <x v="0"/>
  </r>
  <r>
    <x v="288"/>
    <x v="167"/>
    <x v="0"/>
    <x v="10"/>
    <x v="0"/>
    <x v="33"/>
    <x v="286"/>
    <x v="0"/>
    <x v="50"/>
    <x v="2"/>
    <x v="2"/>
    <x v="0"/>
  </r>
  <r>
    <x v="289"/>
    <x v="167"/>
    <x v="2"/>
    <x v="2"/>
    <x v="2"/>
    <x v="36"/>
    <x v="287"/>
    <x v="0"/>
    <x v="285"/>
    <x v="1"/>
    <x v="1"/>
    <x v="0"/>
  </r>
  <r>
    <x v="290"/>
    <x v="168"/>
    <x v="2"/>
    <x v="2"/>
    <x v="6"/>
    <x v="19"/>
    <x v="288"/>
    <x v="0"/>
    <x v="286"/>
    <x v="0"/>
    <x v="0"/>
    <x v="0"/>
  </r>
  <r>
    <x v="291"/>
    <x v="168"/>
    <x v="1"/>
    <x v="9"/>
    <x v="1"/>
    <x v="0"/>
    <x v="289"/>
    <x v="0"/>
    <x v="287"/>
    <x v="0"/>
    <x v="0"/>
    <x v="0"/>
  </r>
  <r>
    <x v="292"/>
    <x v="169"/>
    <x v="3"/>
    <x v="6"/>
    <x v="3"/>
    <x v="38"/>
    <x v="290"/>
    <x v="0"/>
    <x v="254"/>
    <x v="2"/>
    <x v="2"/>
    <x v="0"/>
  </r>
  <r>
    <x v="293"/>
    <x v="170"/>
    <x v="4"/>
    <x v="8"/>
    <x v="4"/>
    <x v="62"/>
    <x v="291"/>
    <x v="1"/>
    <x v="288"/>
    <x v="4"/>
    <x v="4"/>
    <x v="0"/>
  </r>
  <r>
    <x v="294"/>
    <x v="171"/>
    <x v="3"/>
    <x v="3"/>
    <x v="6"/>
    <x v="38"/>
    <x v="292"/>
    <x v="0"/>
    <x v="289"/>
    <x v="2"/>
    <x v="2"/>
    <x v="0"/>
  </r>
  <r>
    <x v="295"/>
    <x v="172"/>
    <x v="1"/>
    <x v="9"/>
    <x v="8"/>
    <x v="5"/>
    <x v="293"/>
    <x v="0"/>
    <x v="290"/>
    <x v="2"/>
    <x v="2"/>
    <x v="0"/>
  </r>
  <r>
    <x v="296"/>
    <x v="173"/>
    <x v="2"/>
    <x v="2"/>
    <x v="2"/>
    <x v="34"/>
    <x v="294"/>
    <x v="0"/>
    <x v="291"/>
    <x v="0"/>
    <x v="0"/>
    <x v="0"/>
  </r>
  <r>
    <x v="297"/>
    <x v="173"/>
    <x v="2"/>
    <x v="5"/>
    <x v="5"/>
    <x v="4"/>
    <x v="295"/>
    <x v="0"/>
    <x v="292"/>
    <x v="0"/>
    <x v="0"/>
    <x v="0"/>
  </r>
  <r>
    <x v="298"/>
    <x v="174"/>
    <x v="2"/>
    <x v="2"/>
    <x v="2"/>
    <x v="11"/>
    <x v="296"/>
    <x v="0"/>
    <x v="293"/>
    <x v="0"/>
    <x v="0"/>
    <x v="0"/>
  </r>
  <r>
    <x v="299"/>
    <x v="174"/>
    <x v="3"/>
    <x v="3"/>
    <x v="6"/>
    <x v="18"/>
    <x v="297"/>
    <x v="0"/>
    <x v="294"/>
    <x v="0"/>
    <x v="0"/>
    <x v="0"/>
  </r>
  <r>
    <x v="300"/>
    <x v="174"/>
    <x v="1"/>
    <x v="9"/>
    <x v="8"/>
    <x v="12"/>
    <x v="134"/>
    <x v="0"/>
    <x v="295"/>
    <x v="0"/>
    <x v="0"/>
    <x v="0"/>
  </r>
  <r>
    <x v="301"/>
    <x v="175"/>
    <x v="1"/>
    <x v="1"/>
    <x v="3"/>
    <x v="4"/>
    <x v="298"/>
    <x v="0"/>
    <x v="296"/>
    <x v="0"/>
    <x v="0"/>
    <x v="0"/>
  </r>
  <r>
    <x v="302"/>
    <x v="176"/>
    <x v="2"/>
    <x v="2"/>
    <x v="2"/>
    <x v="10"/>
    <x v="299"/>
    <x v="0"/>
    <x v="297"/>
    <x v="0"/>
    <x v="0"/>
    <x v="0"/>
  </r>
  <r>
    <x v="303"/>
    <x v="176"/>
    <x v="3"/>
    <x v="3"/>
    <x v="11"/>
    <x v="49"/>
    <x v="300"/>
    <x v="0"/>
    <x v="298"/>
    <x v="0"/>
    <x v="0"/>
    <x v="0"/>
  </r>
  <r>
    <x v="304"/>
    <x v="177"/>
    <x v="2"/>
    <x v="2"/>
    <x v="2"/>
    <x v="53"/>
    <x v="301"/>
    <x v="0"/>
    <x v="299"/>
    <x v="2"/>
    <x v="2"/>
    <x v="0"/>
  </r>
  <r>
    <x v="305"/>
    <x v="178"/>
    <x v="2"/>
    <x v="7"/>
    <x v="5"/>
    <x v="34"/>
    <x v="302"/>
    <x v="0"/>
    <x v="300"/>
    <x v="0"/>
    <x v="0"/>
    <x v="0"/>
  </r>
  <r>
    <x v="306"/>
    <x v="178"/>
    <x v="2"/>
    <x v="2"/>
    <x v="2"/>
    <x v="15"/>
    <x v="303"/>
    <x v="0"/>
    <x v="301"/>
    <x v="0"/>
    <x v="0"/>
    <x v="0"/>
  </r>
  <r>
    <x v="307"/>
    <x v="178"/>
    <x v="3"/>
    <x v="6"/>
    <x v="11"/>
    <x v="15"/>
    <x v="304"/>
    <x v="0"/>
    <x v="302"/>
    <x v="0"/>
    <x v="0"/>
    <x v="0"/>
  </r>
  <r>
    <x v="308"/>
    <x v="179"/>
    <x v="3"/>
    <x v="6"/>
    <x v="6"/>
    <x v="17"/>
    <x v="305"/>
    <x v="0"/>
    <x v="303"/>
    <x v="0"/>
    <x v="0"/>
    <x v="0"/>
  </r>
  <r>
    <x v="309"/>
    <x v="179"/>
    <x v="2"/>
    <x v="2"/>
    <x v="6"/>
    <x v="14"/>
    <x v="306"/>
    <x v="0"/>
    <x v="304"/>
    <x v="0"/>
    <x v="0"/>
    <x v="0"/>
  </r>
  <r>
    <x v="310"/>
    <x v="180"/>
    <x v="4"/>
    <x v="4"/>
    <x v="9"/>
    <x v="8"/>
    <x v="307"/>
    <x v="0"/>
    <x v="305"/>
    <x v="0"/>
    <x v="0"/>
    <x v="0"/>
  </r>
  <r>
    <x v="311"/>
    <x v="180"/>
    <x v="0"/>
    <x v="10"/>
    <x v="4"/>
    <x v="10"/>
    <x v="308"/>
    <x v="0"/>
    <x v="306"/>
    <x v="0"/>
    <x v="0"/>
    <x v="0"/>
  </r>
  <r>
    <x v="312"/>
    <x v="181"/>
    <x v="3"/>
    <x v="6"/>
    <x v="6"/>
    <x v="45"/>
    <x v="309"/>
    <x v="0"/>
    <x v="307"/>
    <x v="2"/>
    <x v="2"/>
    <x v="0"/>
  </r>
  <r>
    <x v="313"/>
    <x v="181"/>
    <x v="0"/>
    <x v="0"/>
    <x v="4"/>
    <x v="42"/>
    <x v="310"/>
    <x v="0"/>
    <x v="308"/>
    <x v="0"/>
    <x v="0"/>
    <x v="0"/>
  </r>
  <r>
    <x v="314"/>
    <x v="182"/>
    <x v="1"/>
    <x v="9"/>
    <x v="8"/>
    <x v="0"/>
    <x v="311"/>
    <x v="0"/>
    <x v="309"/>
    <x v="0"/>
    <x v="0"/>
    <x v="0"/>
  </r>
  <r>
    <x v="315"/>
    <x v="182"/>
    <x v="3"/>
    <x v="3"/>
    <x v="3"/>
    <x v="10"/>
    <x v="312"/>
    <x v="0"/>
    <x v="310"/>
    <x v="0"/>
    <x v="0"/>
    <x v="0"/>
  </r>
  <r>
    <x v="316"/>
    <x v="183"/>
    <x v="3"/>
    <x v="3"/>
    <x v="3"/>
    <x v="35"/>
    <x v="313"/>
    <x v="0"/>
    <x v="311"/>
    <x v="2"/>
    <x v="2"/>
    <x v="0"/>
  </r>
  <r>
    <x v="317"/>
    <x v="184"/>
    <x v="2"/>
    <x v="5"/>
    <x v="2"/>
    <x v="6"/>
    <x v="314"/>
    <x v="0"/>
    <x v="312"/>
    <x v="0"/>
    <x v="0"/>
    <x v="0"/>
  </r>
  <r>
    <x v="318"/>
    <x v="184"/>
    <x v="1"/>
    <x v="1"/>
    <x v="3"/>
    <x v="34"/>
    <x v="315"/>
    <x v="0"/>
    <x v="313"/>
    <x v="0"/>
    <x v="0"/>
    <x v="0"/>
  </r>
  <r>
    <x v="319"/>
    <x v="184"/>
    <x v="1"/>
    <x v="1"/>
    <x v="8"/>
    <x v="16"/>
    <x v="316"/>
    <x v="0"/>
    <x v="314"/>
    <x v="2"/>
    <x v="2"/>
    <x v="0"/>
  </r>
  <r>
    <x v="320"/>
    <x v="185"/>
    <x v="2"/>
    <x v="5"/>
    <x v="2"/>
    <x v="1"/>
    <x v="317"/>
    <x v="0"/>
    <x v="315"/>
    <x v="0"/>
    <x v="0"/>
    <x v="0"/>
  </r>
  <r>
    <x v="321"/>
    <x v="186"/>
    <x v="4"/>
    <x v="4"/>
    <x v="9"/>
    <x v="26"/>
    <x v="318"/>
    <x v="0"/>
    <x v="316"/>
    <x v="1"/>
    <x v="1"/>
    <x v="0"/>
  </r>
  <r>
    <x v="322"/>
    <x v="187"/>
    <x v="4"/>
    <x v="4"/>
    <x v="9"/>
    <x v="63"/>
    <x v="319"/>
    <x v="1"/>
    <x v="317"/>
    <x v="3"/>
    <x v="3"/>
    <x v="0"/>
  </r>
  <r>
    <x v="323"/>
    <x v="188"/>
    <x v="1"/>
    <x v="9"/>
    <x v="1"/>
    <x v="28"/>
    <x v="320"/>
    <x v="0"/>
    <x v="318"/>
    <x v="2"/>
    <x v="2"/>
    <x v="0"/>
  </r>
  <r>
    <x v="324"/>
    <x v="189"/>
    <x v="3"/>
    <x v="6"/>
    <x v="3"/>
    <x v="18"/>
    <x v="321"/>
    <x v="0"/>
    <x v="319"/>
    <x v="0"/>
    <x v="0"/>
    <x v="0"/>
  </r>
  <r>
    <x v="325"/>
    <x v="189"/>
    <x v="4"/>
    <x v="8"/>
    <x v="7"/>
    <x v="11"/>
    <x v="322"/>
    <x v="0"/>
    <x v="320"/>
    <x v="0"/>
    <x v="0"/>
    <x v="0"/>
  </r>
  <r>
    <x v="326"/>
    <x v="189"/>
    <x v="2"/>
    <x v="2"/>
    <x v="2"/>
    <x v="56"/>
    <x v="323"/>
    <x v="0"/>
    <x v="321"/>
    <x v="1"/>
    <x v="1"/>
    <x v="0"/>
  </r>
  <r>
    <x v="327"/>
    <x v="190"/>
    <x v="0"/>
    <x v="0"/>
    <x v="4"/>
    <x v="22"/>
    <x v="324"/>
    <x v="0"/>
    <x v="322"/>
    <x v="2"/>
    <x v="2"/>
    <x v="0"/>
  </r>
  <r>
    <x v="328"/>
    <x v="190"/>
    <x v="2"/>
    <x v="2"/>
    <x v="6"/>
    <x v="43"/>
    <x v="325"/>
    <x v="1"/>
    <x v="323"/>
    <x v="4"/>
    <x v="4"/>
    <x v="0"/>
  </r>
  <r>
    <x v="329"/>
    <x v="191"/>
    <x v="2"/>
    <x v="2"/>
    <x v="5"/>
    <x v="57"/>
    <x v="326"/>
    <x v="1"/>
    <x v="324"/>
    <x v="4"/>
    <x v="4"/>
    <x v="0"/>
  </r>
  <r>
    <x v="330"/>
    <x v="192"/>
    <x v="2"/>
    <x v="7"/>
    <x v="2"/>
    <x v="53"/>
    <x v="327"/>
    <x v="0"/>
    <x v="325"/>
    <x v="2"/>
    <x v="2"/>
    <x v="0"/>
  </r>
  <r>
    <x v="331"/>
    <x v="193"/>
    <x v="2"/>
    <x v="5"/>
    <x v="5"/>
    <x v="37"/>
    <x v="328"/>
    <x v="1"/>
    <x v="326"/>
    <x v="4"/>
    <x v="4"/>
    <x v="0"/>
  </r>
  <r>
    <x v="332"/>
    <x v="194"/>
    <x v="3"/>
    <x v="3"/>
    <x v="6"/>
    <x v="4"/>
    <x v="329"/>
    <x v="0"/>
    <x v="327"/>
    <x v="0"/>
    <x v="0"/>
    <x v="0"/>
  </r>
  <r>
    <x v="333"/>
    <x v="194"/>
    <x v="0"/>
    <x v="0"/>
    <x v="10"/>
    <x v="18"/>
    <x v="330"/>
    <x v="0"/>
    <x v="328"/>
    <x v="0"/>
    <x v="0"/>
    <x v="0"/>
  </r>
  <r>
    <x v="334"/>
    <x v="195"/>
    <x v="2"/>
    <x v="2"/>
    <x v="5"/>
    <x v="32"/>
    <x v="331"/>
    <x v="0"/>
    <x v="329"/>
    <x v="0"/>
    <x v="0"/>
    <x v="0"/>
  </r>
  <r>
    <x v="335"/>
    <x v="195"/>
    <x v="4"/>
    <x v="4"/>
    <x v="9"/>
    <x v="0"/>
    <x v="332"/>
    <x v="0"/>
    <x v="330"/>
    <x v="0"/>
    <x v="0"/>
    <x v="0"/>
  </r>
  <r>
    <x v="336"/>
    <x v="195"/>
    <x v="3"/>
    <x v="3"/>
    <x v="3"/>
    <x v="10"/>
    <x v="333"/>
    <x v="0"/>
    <x v="331"/>
    <x v="0"/>
    <x v="0"/>
    <x v="0"/>
  </r>
  <r>
    <x v="337"/>
    <x v="195"/>
    <x v="3"/>
    <x v="3"/>
    <x v="6"/>
    <x v="20"/>
    <x v="334"/>
    <x v="0"/>
    <x v="332"/>
    <x v="0"/>
    <x v="0"/>
    <x v="0"/>
  </r>
  <r>
    <x v="338"/>
    <x v="196"/>
    <x v="0"/>
    <x v="0"/>
    <x v="10"/>
    <x v="25"/>
    <x v="335"/>
    <x v="0"/>
    <x v="333"/>
    <x v="0"/>
    <x v="0"/>
    <x v="0"/>
  </r>
  <r>
    <x v="339"/>
    <x v="197"/>
    <x v="3"/>
    <x v="3"/>
    <x v="6"/>
    <x v="21"/>
    <x v="336"/>
    <x v="0"/>
    <x v="334"/>
    <x v="2"/>
    <x v="2"/>
    <x v="0"/>
  </r>
  <r>
    <x v="340"/>
    <x v="198"/>
    <x v="2"/>
    <x v="2"/>
    <x v="5"/>
    <x v="42"/>
    <x v="337"/>
    <x v="0"/>
    <x v="335"/>
    <x v="0"/>
    <x v="0"/>
    <x v="0"/>
  </r>
  <r>
    <x v="341"/>
    <x v="198"/>
    <x v="3"/>
    <x v="3"/>
    <x v="6"/>
    <x v="36"/>
    <x v="338"/>
    <x v="1"/>
    <x v="336"/>
    <x v="1"/>
    <x v="1"/>
    <x v="0"/>
  </r>
  <r>
    <x v="342"/>
    <x v="198"/>
    <x v="4"/>
    <x v="8"/>
    <x v="7"/>
    <x v="19"/>
    <x v="339"/>
    <x v="0"/>
    <x v="337"/>
    <x v="0"/>
    <x v="0"/>
    <x v="0"/>
  </r>
  <r>
    <x v="343"/>
    <x v="199"/>
    <x v="3"/>
    <x v="3"/>
    <x v="11"/>
    <x v="11"/>
    <x v="340"/>
    <x v="0"/>
    <x v="338"/>
    <x v="0"/>
    <x v="0"/>
    <x v="0"/>
  </r>
  <r>
    <x v="344"/>
    <x v="199"/>
    <x v="0"/>
    <x v="10"/>
    <x v="4"/>
    <x v="4"/>
    <x v="341"/>
    <x v="0"/>
    <x v="339"/>
    <x v="0"/>
    <x v="0"/>
    <x v="0"/>
  </r>
  <r>
    <x v="345"/>
    <x v="199"/>
    <x v="4"/>
    <x v="8"/>
    <x v="9"/>
    <x v="64"/>
    <x v="342"/>
    <x v="1"/>
    <x v="340"/>
    <x v="3"/>
    <x v="3"/>
    <x v="0"/>
  </r>
  <r>
    <x v="346"/>
    <x v="200"/>
    <x v="2"/>
    <x v="7"/>
    <x v="6"/>
    <x v="65"/>
    <x v="343"/>
    <x v="1"/>
    <x v="341"/>
    <x v="1"/>
    <x v="1"/>
    <x v="0"/>
  </r>
  <r>
    <x v="347"/>
    <x v="200"/>
    <x v="3"/>
    <x v="6"/>
    <x v="6"/>
    <x v="42"/>
    <x v="344"/>
    <x v="0"/>
    <x v="342"/>
    <x v="0"/>
    <x v="0"/>
    <x v="0"/>
  </r>
  <r>
    <x v="348"/>
    <x v="201"/>
    <x v="1"/>
    <x v="1"/>
    <x v="3"/>
    <x v="35"/>
    <x v="345"/>
    <x v="0"/>
    <x v="343"/>
    <x v="2"/>
    <x v="2"/>
    <x v="0"/>
  </r>
  <r>
    <x v="349"/>
    <x v="202"/>
    <x v="4"/>
    <x v="4"/>
    <x v="7"/>
    <x v="15"/>
    <x v="346"/>
    <x v="0"/>
    <x v="344"/>
    <x v="0"/>
    <x v="0"/>
    <x v="0"/>
  </r>
  <r>
    <x v="350"/>
    <x v="203"/>
    <x v="4"/>
    <x v="8"/>
    <x v="7"/>
    <x v="60"/>
    <x v="347"/>
    <x v="0"/>
    <x v="345"/>
    <x v="1"/>
    <x v="1"/>
    <x v="0"/>
  </r>
  <r>
    <x v="351"/>
    <x v="203"/>
    <x v="0"/>
    <x v="10"/>
    <x v="10"/>
    <x v="8"/>
    <x v="18"/>
    <x v="0"/>
    <x v="346"/>
    <x v="0"/>
    <x v="0"/>
    <x v="0"/>
  </r>
  <r>
    <x v="352"/>
    <x v="203"/>
    <x v="3"/>
    <x v="6"/>
    <x v="3"/>
    <x v="10"/>
    <x v="348"/>
    <x v="0"/>
    <x v="347"/>
    <x v="0"/>
    <x v="0"/>
    <x v="0"/>
  </r>
  <r>
    <x v="353"/>
    <x v="203"/>
    <x v="1"/>
    <x v="1"/>
    <x v="8"/>
    <x v="44"/>
    <x v="349"/>
    <x v="0"/>
    <x v="348"/>
    <x v="2"/>
    <x v="2"/>
    <x v="0"/>
  </r>
  <r>
    <x v="354"/>
    <x v="204"/>
    <x v="4"/>
    <x v="4"/>
    <x v="7"/>
    <x v="20"/>
    <x v="350"/>
    <x v="0"/>
    <x v="349"/>
    <x v="0"/>
    <x v="0"/>
    <x v="0"/>
  </r>
  <r>
    <x v="355"/>
    <x v="204"/>
    <x v="0"/>
    <x v="0"/>
    <x v="10"/>
    <x v="20"/>
    <x v="351"/>
    <x v="0"/>
    <x v="350"/>
    <x v="0"/>
    <x v="0"/>
    <x v="0"/>
  </r>
  <r>
    <x v="356"/>
    <x v="204"/>
    <x v="1"/>
    <x v="1"/>
    <x v="1"/>
    <x v="11"/>
    <x v="352"/>
    <x v="0"/>
    <x v="351"/>
    <x v="0"/>
    <x v="0"/>
    <x v="0"/>
  </r>
  <r>
    <x v="357"/>
    <x v="205"/>
    <x v="1"/>
    <x v="9"/>
    <x v="8"/>
    <x v="11"/>
    <x v="353"/>
    <x v="0"/>
    <x v="352"/>
    <x v="0"/>
    <x v="0"/>
    <x v="0"/>
  </r>
  <r>
    <x v="358"/>
    <x v="206"/>
    <x v="2"/>
    <x v="7"/>
    <x v="5"/>
    <x v="49"/>
    <x v="354"/>
    <x v="0"/>
    <x v="353"/>
    <x v="0"/>
    <x v="0"/>
    <x v="0"/>
  </r>
  <r>
    <x v="359"/>
    <x v="206"/>
    <x v="1"/>
    <x v="1"/>
    <x v="8"/>
    <x v="12"/>
    <x v="355"/>
    <x v="0"/>
    <x v="354"/>
    <x v="0"/>
    <x v="0"/>
    <x v="0"/>
  </r>
  <r>
    <x v="360"/>
    <x v="206"/>
    <x v="4"/>
    <x v="8"/>
    <x v="9"/>
    <x v="66"/>
    <x v="356"/>
    <x v="1"/>
    <x v="355"/>
    <x v="4"/>
    <x v="4"/>
    <x v="0"/>
  </r>
  <r>
    <x v="361"/>
    <x v="207"/>
    <x v="2"/>
    <x v="5"/>
    <x v="2"/>
    <x v="29"/>
    <x v="357"/>
    <x v="1"/>
    <x v="66"/>
    <x v="1"/>
    <x v="1"/>
    <x v="0"/>
  </r>
  <r>
    <x v="362"/>
    <x v="207"/>
    <x v="2"/>
    <x v="7"/>
    <x v="5"/>
    <x v="4"/>
    <x v="358"/>
    <x v="0"/>
    <x v="356"/>
    <x v="0"/>
    <x v="0"/>
    <x v="0"/>
  </r>
  <r>
    <x v="363"/>
    <x v="208"/>
    <x v="4"/>
    <x v="4"/>
    <x v="7"/>
    <x v="7"/>
    <x v="359"/>
    <x v="0"/>
    <x v="357"/>
    <x v="1"/>
    <x v="1"/>
    <x v="0"/>
  </r>
  <r>
    <x v="364"/>
    <x v="208"/>
    <x v="2"/>
    <x v="2"/>
    <x v="5"/>
    <x v="51"/>
    <x v="360"/>
    <x v="0"/>
    <x v="358"/>
    <x v="1"/>
    <x v="1"/>
    <x v="0"/>
  </r>
  <r>
    <x v="365"/>
    <x v="209"/>
    <x v="2"/>
    <x v="5"/>
    <x v="2"/>
    <x v="37"/>
    <x v="361"/>
    <x v="1"/>
    <x v="359"/>
    <x v="4"/>
    <x v="4"/>
    <x v="0"/>
  </r>
  <r>
    <x v="366"/>
    <x v="210"/>
    <x v="2"/>
    <x v="5"/>
    <x v="6"/>
    <x v="9"/>
    <x v="362"/>
    <x v="1"/>
    <x v="360"/>
    <x v="1"/>
    <x v="1"/>
    <x v="0"/>
  </r>
  <r>
    <x v="367"/>
    <x v="210"/>
    <x v="3"/>
    <x v="3"/>
    <x v="6"/>
    <x v="0"/>
    <x v="363"/>
    <x v="0"/>
    <x v="361"/>
    <x v="0"/>
    <x v="0"/>
    <x v="0"/>
  </r>
  <r>
    <x v="368"/>
    <x v="211"/>
    <x v="1"/>
    <x v="1"/>
    <x v="8"/>
    <x v="20"/>
    <x v="364"/>
    <x v="1"/>
    <x v="362"/>
    <x v="0"/>
    <x v="0"/>
    <x v="0"/>
  </r>
  <r>
    <x v="369"/>
    <x v="212"/>
    <x v="2"/>
    <x v="5"/>
    <x v="6"/>
    <x v="33"/>
    <x v="365"/>
    <x v="0"/>
    <x v="363"/>
    <x v="2"/>
    <x v="2"/>
    <x v="0"/>
  </r>
  <r>
    <x v="370"/>
    <x v="213"/>
    <x v="3"/>
    <x v="3"/>
    <x v="6"/>
    <x v="18"/>
    <x v="366"/>
    <x v="0"/>
    <x v="364"/>
    <x v="0"/>
    <x v="0"/>
    <x v="0"/>
  </r>
  <r>
    <x v="371"/>
    <x v="214"/>
    <x v="4"/>
    <x v="8"/>
    <x v="4"/>
    <x v="49"/>
    <x v="367"/>
    <x v="0"/>
    <x v="365"/>
    <x v="0"/>
    <x v="0"/>
    <x v="0"/>
  </r>
  <r>
    <x v="372"/>
    <x v="215"/>
    <x v="2"/>
    <x v="7"/>
    <x v="6"/>
    <x v="20"/>
    <x v="368"/>
    <x v="0"/>
    <x v="366"/>
    <x v="0"/>
    <x v="0"/>
    <x v="0"/>
  </r>
  <r>
    <x v="373"/>
    <x v="215"/>
    <x v="1"/>
    <x v="1"/>
    <x v="3"/>
    <x v="22"/>
    <x v="369"/>
    <x v="0"/>
    <x v="367"/>
    <x v="2"/>
    <x v="2"/>
    <x v="0"/>
  </r>
  <r>
    <x v="374"/>
    <x v="216"/>
    <x v="4"/>
    <x v="4"/>
    <x v="7"/>
    <x v="19"/>
    <x v="370"/>
    <x v="0"/>
    <x v="368"/>
    <x v="0"/>
    <x v="0"/>
    <x v="0"/>
  </r>
  <r>
    <x v="375"/>
    <x v="216"/>
    <x v="0"/>
    <x v="10"/>
    <x v="4"/>
    <x v="65"/>
    <x v="371"/>
    <x v="1"/>
    <x v="369"/>
    <x v="1"/>
    <x v="1"/>
    <x v="0"/>
  </r>
  <r>
    <x v="376"/>
    <x v="217"/>
    <x v="0"/>
    <x v="0"/>
    <x v="10"/>
    <x v="67"/>
    <x v="372"/>
    <x v="1"/>
    <x v="370"/>
    <x v="1"/>
    <x v="1"/>
    <x v="0"/>
  </r>
  <r>
    <x v="377"/>
    <x v="217"/>
    <x v="1"/>
    <x v="9"/>
    <x v="8"/>
    <x v="13"/>
    <x v="373"/>
    <x v="1"/>
    <x v="371"/>
    <x v="0"/>
    <x v="0"/>
    <x v="0"/>
  </r>
  <r>
    <x v="378"/>
    <x v="218"/>
    <x v="3"/>
    <x v="6"/>
    <x v="6"/>
    <x v="0"/>
    <x v="374"/>
    <x v="0"/>
    <x v="372"/>
    <x v="0"/>
    <x v="0"/>
    <x v="0"/>
  </r>
  <r>
    <x v="379"/>
    <x v="219"/>
    <x v="1"/>
    <x v="9"/>
    <x v="8"/>
    <x v="21"/>
    <x v="375"/>
    <x v="0"/>
    <x v="373"/>
    <x v="2"/>
    <x v="2"/>
    <x v="0"/>
  </r>
  <r>
    <x v="380"/>
    <x v="220"/>
    <x v="4"/>
    <x v="8"/>
    <x v="9"/>
    <x v="13"/>
    <x v="376"/>
    <x v="0"/>
    <x v="374"/>
    <x v="0"/>
    <x v="0"/>
    <x v="0"/>
  </r>
  <r>
    <x v="381"/>
    <x v="221"/>
    <x v="2"/>
    <x v="5"/>
    <x v="6"/>
    <x v="51"/>
    <x v="377"/>
    <x v="0"/>
    <x v="375"/>
    <x v="1"/>
    <x v="1"/>
    <x v="0"/>
  </r>
  <r>
    <x v="382"/>
    <x v="221"/>
    <x v="2"/>
    <x v="7"/>
    <x v="2"/>
    <x v="55"/>
    <x v="378"/>
    <x v="1"/>
    <x v="376"/>
    <x v="4"/>
    <x v="4"/>
    <x v="0"/>
  </r>
  <r>
    <x v="383"/>
    <x v="221"/>
    <x v="2"/>
    <x v="7"/>
    <x v="5"/>
    <x v="53"/>
    <x v="379"/>
    <x v="0"/>
    <x v="377"/>
    <x v="2"/>
    <x v="2"/>
    <x v="0"/>
  </r>
  <r>
    <x v="384"/>
    <x v="221"/>
    <x v="0"/>
    <x v="0"/>
    <x v="0"/>
    <x v="22"/>
    <x v="380"/>
    <x v="0"/>
    <x v="378"/>
    <x v="2"/>
    <x v="2"/>
    <x v="0"/>
  </r>
  <r>
    <x v="385"/>
    <x v="222"/>
    <x v="1"/>
    <x v="1"/>
    <x v="3"/>
    <x v="11"/>
    <x v="381"/>
    <x v="0"/>
    <x v="379"/>
    <x v="0"/>
    <x v="0"/>
    <x v="0"/>
  </r>
  <r>
    <x v="386"/>
    <x v="222"/>
    <x v="3"/>
    <x v="6"/>
    <x v="6"/>
    <x v="18"/>
    <x v="247"/>
    <x v="0"/>
    <x v="380"/>
    <x v="0"/>
    <x v="0"/>
    <x v="0"/>
  </r>
  <r>
    <x v="387"/>
    <x v="222"/>
    <x v="1"/>
    <x v="1"/>
    <x v="8"/>
    <x v="32"/>
    <x v="382"/>
    <x v="1"/>
    <x v="381"/>
    <x v="0"/>
    <x v="0"/>
    <x v="0"/>
  </r>
  <r>
    <x v="388"/>
    <x v="222"/>
    <x v="2"/>
    <x v="2"/>
    <x v="2"/>
    <x v="4"/>
    <x v="383"/>
    <x v="0"/>
    <x v="382"/>
    <x v="0"/>
    <x v="0"/>
    <x v="0"/>
  </r>
  <r>
    <x v="389"/>
    <x v="223"/>
    <x v="2"/>
    <x v="7"/>
    <x v="2"/>
    <x v="4"/>
    <x v="384"/>
    <x v="0"/>
    <x v="383"/>
    <x v="0"/>
    <x v="0"/>
    <x v="0"/>
  </r>
  <r>
    <x v="390"/>
    <x v="223"/>
    <x v="4"/>
    <x v="4"/>
    <x v="9"/>
    <x v="48"/>
    <x v="385"/>
    <x v="0"/>
    <x v="384"/>
    <x v="1"/>
    <x v="1"/>
    <x v="0"/>
  </r>
  <r>
    <x v="391"/>
    <x v="224"/>
    <x v="4"/>
    <x v="4"/>
    <x v="9"/>
    <x v="34"/>
    <x v="386"/>
    <x v="0"/>
    <x v="385"/>
    <x v="0"/>
    <x v="0"/>
    <x v="0"/>
  </r>
  <r>
    <x v="392"/>
    <x v="224"/>
    <x v="1"/>
    <x v="9"/>
    <x v="8"/>
    <x v="53"/>
    <x v="387"/>
    <x v="0"/>
    <x v="386"/>
    <x v="2"/>
    <x v="2"/>
    <x v="0"/>
  </r>
  <r>
    <x v="393"/>
    <x v="224"/>
    <x v="4"/>
    <x v="4"/>
    <x v="9"/>
    <x v="13"/>
    <x v="388"/>
    <x v="0"/>
    <x v="387"/>
    <x v="0"/>
    <x v="0"/>
    <x v="0"/>
  </r>
  <r>
    <x v="394"/>
    <x v="225"/>
    <x v="1"/>
    <x v="1"/>
    <x v="3"/>
    <x v="22"/>
    <x v="389"/>
    <x v="0"/>
    <x v="388"/>
    <x v="2"/>
    <x v="2"/>
    <x v="0"/>
  </r>
  <r>
    <x v="395"/>
    <x v="225"/>
    <x v="2"/>
    <x v="2"/>
    <x v="2"/>
    <x v="9"/>
    <x v="390"/>
    <x v="1"/>
    <x v="389"/>
    <x v="1"/>
    <x v="1"/>
    <x v="0"/>
  </r>
  <r>
    <x v="396"/>
    <x v="226"/>
    <x v="4"/>
    <x v="4"/>
    <x v="4"/>
    <x v="13"/>
    <x v="391"/>
    <x v="0"/>
    <x v="390"/>
    <x v="0"/>
    <x v="0"/>
    <x v="0"/>
  </r>
  <r>
    <x v="397"/>
    <x v="227"/>
    <x v="3"/>
    <x v="3"/>
    <x v="3"/>
    <x v="48"/>
    <x v="392"/>
    <x v="1"/>
    <x v="391"/>
    <x v="1"/>
    <x v="1"/>
    <x v="0"/>
  </r>
  <r>
    <x v="398"/>
    <x v="228"/>
    <x v="3"/>
    <x v="6"/>
    <x v="3"/>
    <x v="11"/>
    <x v="207"/>
    <x v="0"/>
    <x v="206"/>
    <x v="0"/>
    <x v="0"/>
    <x v="0"/>
  </r>
  <r>
    <x v="399"/>
    <x v="229"/>
    <x v="5"/>
    <x v="11"/>
    <x v="12"/>
    <x v="68"/>
    <x v="393"/>
    <x v="2"/>
    <x v="392"/>
    <x v="5"/>
    <x v="5"/>
    <x v="1"/>
  </r>
  <r>
    <x v="400"/>
    <x v="229"/>
    <x v="5"/>
    <x v="11"/>
    <x v="12"/>
    <x v="68"/>
    <x v="393"/>
    <x v="2"/>
    <x v="392"/>
    <x v="5"/>
    <x v="5"/>
    <x v="1"/>
  </r>
  <r>
    <x v="401"/>
    <x v="229"/>
    <x v="5"/>
    <x v="11"/>
    <x v="12"/>
    <x v="68"/>
    <x v="393"/>
    <x v="2"/>
    <x v="392"/>
    <x v="5"/>
    <x v="5"/>
    <x v="1"/>
  </r>
  <r>
    <x v="402"/>
    <x v="229"/>
    <x v="5"/>
    <x v="11"/>
    <x v="12"/>
    <x v="68"/>
    <x v="393"/>
    <x v="2"/>
    <x v="392"/>
    <x v="5"/>
    <x v="5"/>
    <x v="1"/>
  </r>
  <r>
    <x v="403"/>
    <x v="229"/>
    <x v="5"/>
    <x v="11"/>
    <x v="12"/>
    <x v="68"/>
    <x v="393"/>
    <x v="2"/>
    <x v="392"/>
    <x v="5"/>
    <x v="5"/>
    <x v="1"/>
  </r>
</pivotCacheRecords>
</file>

<file path=xl/pivotCache/pivotCacheRecords5.xml><?xml version="1.0" encoding="utf-8"?>
<pivotCacheRecords xmlns:r="http://schemas.openxmlformats.org/officeDocument/2006/relationships" xmlns="http://schemas.openxmlformats.org/spreadsheetml/2006/main" count="404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0"/>
    <x v="0"/>
  </r>
  <r>
    <x v="2"/>
    <x v="1"/>
    <x v="2"/>
    <x v="2"/>
    <x v="2"/>
    <x v="2"/>
    <x v="2"/>
    <x v="0"/>
    <x v="2"/>
    <x v="1"/>
    <x v="1"/>
    <x v="0"/>
  </r>
  <r>
    <x v="3"/>
    <x v="1"/>
    <x v="3"/>
    <x v="3"/>
    <x v="3"/>
    <x v="3"/>
    <x v="3"/>
    <x v="1"/>
    <x v="3"/>
    <x v="1"/>
    <x v="1"/>
    <x v="0"/>
  </r>
  <r>
    <x v="4"/>
    <x v="2"/>
    <x v="4"/>
    <x v="4"/>
    <x v="4"/>
    <x v="4"/>
    <x v="4"/>
    <x v="0"/>
    <x v="4"/>
    <x v="0"/>
    <x v="0"/>
    <x v="0"/>
  </r>
  <r>
    <x v="5"/>
    <x v="3"/>
    <x v="2"/>
    <x v="5"/>
    <x v="5"/>
    <x v="5"/>
    <x v="5"/>
    <x v="0"/>
    <x v="5"/>
    <x v="2"/>
    <x v="2"/>
    <x v="0"/>
  </r>
  <r>
    <x v="6"/>
    <x v="4"/>
    <x v="2"/>
    <x v="5"/>
    <x v="2"/>
    <x v="4"/>
    <x v="6"/>
    <x v="0"/>
    <x v="6"/>
    <x v="0"/>
    <x v="0"/>
    <x v="0"/>
  </r>
  <r>
    <x v="7"/>
    <x v="5"/>
    <x v="3"/>
    <x v="6"/>
    <x v="6"/>
    <x v="6"/>
    <x v="7"/>
    <x v="0"/>
    <x v="7"/>
    <x v="0"/>
    <x v="0"/>
    <x v="0"/>
  </r>
  <r>
    <x v="8"/>
    <x v="5"/>
    <x v="2"/>
    <x v="7"/>
    <x v="2"/>
    <x v="0"/>
    <x v="8"/>
    <x v="0"/>
    <x v="8"/>
    <x v="0"/>
    <x v="0"/>
    <x v="0"/>
  </r>
  <r>
    <x v="9"/>
    <x v="6"/>
    <x v="4"/>
    <x v="8"/>
    <x v="7"/>
    <x v="7"/>
    <x v="9"/>
    <x v="0"/>
    <x v="9"/>
    <x v="1"/>
    <x v="1"/>
    <x v="0"/>
  </r>
  <r>
    <x v="10"/>
    <x v="6"/>
    <x v="4"/>
    <x v="8"/>
    <x v="7"/>
    <x v="2"/>
    <x v="10"/>
    <x v="0"/>
    <x v="10"/>
    <x v="1"/>
    <x v="1"/>
    <x v="0"/>
  </r>
  <r>
    <x v="11"/>
    <x v="7"/>
    <x v="1"/>
    <x v="9"/>
    <x v="8"/>
    <x v="8"/>
    <x v="11"/>
    <x v="0"/>
    <x v="11"/>
    <x v="0"/>
    <x v="0"/>
    <x v="0"/>
  </r>
  <r>
    <x v="12"/>
    <x v="8"/>
    <x v="2"/>
    <x v="7"/>
    <x v="2"/>
    <x v="9"/>
    <x v="12"/>
    <x v="1"/>
    <x v="12"/>
    <x v="1"/>
    <x v="1"/>
    <x v="0"/>
  </r>
  <r>
    <x v="13"/>
    <x v="8"/>
    <x v="1"/>
    <x v="9"/>
    <x v="1"/>
    <x v="10"/>
    <x v="13"/>
    <x v="0"/>
    <x v="13"/>
    <x v="0"/>
    <x v="0"/>
    <x v="0"/>
  </r>
  <r>
    <x v="14"/>
    <x v="9"/>
    <x v="1"/>
    <x v="9"/>
    <x v="8"/>
    <x v="11"/>
    <x v="14"/>
    <x v="0"/>
    <x v="14"/>
    <x v="0"/>
    <x v="0"/>
    <x v="0"/>
  </r>
  <r>
    <x v="15"/>
    <x v="9"/>
    <x v="1"/>
    <x v="1"/>
    <x v="8"/>
    <x v="12"/>
    <x v="15"/>
    <x v="0"/>
    <x v="15"/>
    <x v="0"/>
    <x v="0"/>
    <x v="0"/>
  </r>
  <r>
    <x v="16"/>
    <x v="10"/>
    <x v="2"/>
    <x v="7"/>
    <x v="6"/>
    <x v="13"/>
    <x v="16"/>
    <x v="0"/>
    <x v="16"/>
    <x v="0"/>
    <x v="0"/>
    <x v="0"/>
  </r>
  <r>
    <x v="17"/>
    <x v="10"/>
    <x v="4"/>
    <x v="8"/>
    <x v="9"/>
    <x v="14"/>
    <x v="17"/>
    <x v="0"/>
    <x v="17"/>
    <x v="0"/>
    <x v="0"/>
    <x v="0"/>
  </r>
  <r>
    <x v="18"/>
    <x v="10"/>
    <x v="3"/>
    <x v="6"/>
    <x v="6"/>
    <x v="15"/>
    <x v="18"/>
    <x v="0"/>
    <x v="18"/>
    <x v="0"/>
    <x v="0"/>
    <x v="0"/>
  </r>
  <r>
    <x v="19"/>
    <x v="11"/>
    <x v="2"/>
    <x v="5"/>
    <x v="5"/>
    <x v="6"/>
    <x v="19"/>
    <x v="0"/>
    <x v="19"/>
    <x v="0"/>
    <x v="0"/>
    <x v="0"/>
  </r>
  <r>
    <x v="20"/>
    <x v="12"/>
    <x v="0"/>
    <x v="10"/>
    <x v="4"/>
    <x v="13"/>
    <x v="20"/>
    <x v="0"/>
    <x v="20"/>
    <x v="0"/>
    <x v="0"/>
    <x v="0"/>
  </r>
  <r>
    <x v="21"/>
    <x v="12"/>
    <x v="0"/>
    <x v="10"/>
    <x v="10"/>
    <x v="2"/>
    <x v="21"/>
    <x v="0"/>
    <x v="21"/>
    <x v="1"/>
    <x v="1"/>
    <x v="0"/>
  </r>
  <r>
    <x v="22"/>
    <x v="13"/>
    <x v="1"/>
    <x v="1"/>
    <x v="3"/>
    <x v="16"/>
    <x v="22"/>
    <x v="0"/>
    <x v="22"/>
    <x v="2"/>
    <x v="2"/>
    <x v="0"/>
  </r>
  <r>
    <x v="23"/>
    <x v="13"/>
    <x v="2"/>
    <x v="7"/>
    <x v="2"/>
    <x v="3"/>
    <x v="23"/>
    <x v="0"/>
    <x v="23"/>
    <x v="1"/>
    <x v="1"/>
    <x v="0"/>
  </r>
  <r>
    <x v="24"/>
    <x v="13"/>
    <x v="1"/>
    <x v="1"/>
    <x v="1"/>
    <x v="17"/>
    <x v="24"/>
    <x v="0"/>
    <x v="24"/>
    <x v="0"/>
    <x v="0"/>
    <x v="0"/>
  </r>
  <r>
    <x v="25"/>
    <x v="13"/>
    <x v="3"/>
    <x v="6"/>
    <x v="11"/>
    <x v="18"/>
    <x v="25"/>
    <x v="0"/>
    <x v="25"/>
    <x v="0"/>
    <x v="0"/>
    <x v="0"/>
  </r>
  <r>
    <x v="26"/>
    <x v="14"/>
    <x v="0"/>
    <x v="10"/>
    <x v="4"/>
    <x v="18"/>
    <x v="26"/>
    <x v="0"/>
    <x v="26"/>
    <x v="0"/>
    <x v="0"/>
    <x v="0"/>
  </r>
  <r>
    <x v="27"/>
    <x v="14"/>
    <x v="3"/>
    <x v="6"/>
    <x v="6"/>
    <x v="19"/>
    <x v="27"/>
    <x v="0"/>
    <x v="27"/>
    <x v="0"/>
    <x v="0"/>
    <x v="0"/>
  </r>
  <r>
    <x v="28"/>
    <x v="15"/>
    <x v="2"/>
    <x v="5"/>
    <x v="5"/>
    <x v="20"/>
    <x v="28"/>
    <x v="0"/>
    <x v="28"/>
    <x v="0"/>
    <x v="0"/>
    <x v="0"/>
  </r>
  <r>
    <x v="29"/>
    <x v="15"/>
    <x v="2"/>
    <x v="7"/>
    <x v="5"/>
    <x v="21"/>
    <x v="29"/>
    <x v="0"/>
    <x v="29"/>
    <x v="2"/>
    <x v="2"/>
    <x v="0"/>
  </r>
  <r>
    <x v="30"/>
    <x v="15"/>
    <x v="1"/>
    <x v="9"/>
    <x v="1"/>
    <x v="10"/>
    <x v="30"/>
    <x v="0"/>
    <x v="30"/>
    <x v="0"/>
    <x v="0"/>
    <x v="0"/>
  </r>
  <r>
    <x v="31"/>
    <x v="16"/>
    <x v="1"/>
    <x v="9"/>
    <x v="1"/>
    <x v="0"/>
    <x v="31"/>
    <x v="0"/>
    <x v="31"/>
    <x v="0"/>
    <x v="0"/>
    <x v="0"/>
  </r>
  <r>
    <x v="32"/>
    <x v="16"/>
    <x v="3"/>
    <x v="6"/>
    <x v="6"/>
    <x v="5"/>
    <x v="32"/>
    <x v="0"/>
    <x v="32"/>
    <x v="2"/>
    <x v="2"/>
    <x v="0"/>
  </r>
  <r>
    <x v="33"/>
    <x v="17"/>
    <x v="1"/>
    <x v="1"/>
    <x v="1"/>
    <x v="22"/>
    <x v="33"/>
    <x v="0"/>
    <x v="33"/>
    <x v="2"/>
    <x v="2"/>
    <x v="0"/>
  </r>
  <r>
    <x v="34"/>
    <x v="18"/>
    <x v="2"/>
    <x v="2"/>
    <x v="6"/>
    <x v="18"/>
    <x v="34"/>
    <x v="0"/>
    <x v="34"/>
    <x v="0"/>
    <x v="0"/>
    <x v="0"/>
  </r>
  <r>
    <x v="35"/>
    <x v="19"/>
    <x v="0"/>
    <x v="10"/>
    <x v="4"/>
    <x v="19"/>
    <x v="35"/>
    <x v="0"/>
    <x v="35"/>
    <x v="0"/>
    <x v="0"/>
    <x v="0"/>
  </r>
  <r>
    <x v="36"/>
    <x v="20"/>
    <x v="4"/>
    <x v="4"/>
    <x v="7"/>
    <x v="1"/>
    <x v="36"/>
    <x v="0"/>
    <x v="36"/>
    <x v="0"/>
    <x v="0"/>
    <x v="0"/>
  </r>
  <r>
    <x v="37"/>
    <x v="20"/>
    <x v="1"/>
    <x v="1"/>
    <x v="8"/>
    <x v="23"/>
    <x v="37"/>
    <x v="0"/>
    <x v="37"/>
    <x v="2"/>
    <x v="2"/>
    <x v="0"/>
  </r>
  <r>
    <x v="38"/>
    <x v="20"/>
    <x v="3"/>
    <x v="3"/>
    <x v="3"/>
    <x v="14"/>
    <x v="38"/>
    <x v="0"/>
    <x v="38"/>
    <x v="0"/>
    <x v="0"/>
    <x v="0"/>
  </r>
  <r>
    <x v="39"/>
    <x v="20"/>
    <x v="4"/>
    <x v="8"/>
    <x v="4"/>
    <x v="24"/>
    <x v="39"/>
    <x v="0"/>
    <x v="39"/>
    <x v="1"/>
    <x v="1"/>
    <x v="0"/>
  </r>
  <r>
    <x v="40"/>
    <x v="20"/>
    <x v="2"/>
    <x v="2"/>
    <x v="6"/>
    <x v="15"/>
    <x v="40"/>
    <x v="0"/>
    <x v="40"/>
    <x v="0"/>
    <x v="0"/>
    <x v="0"/>
  </r>
  <r>
    <x v="41"/>
    <x v="21"/>
    <x v="1"/>
    <x v="1"/>
    <x v="8"/>
    <x v="23"/>
    <x v="41"/>
    <x v="0"/>
    <x v="41"/>
    <x v="2"/>
    <x v="2"/>
    <x v="0"/>
  </r>
  <r>
    <x v="42"/>
    <x v="22"/>
    <x v="0"/>
    <x v="10"/>
    <x v="10"/>
    <x v="25"/>
    <x v="42"/>
    <x v="0"/>
    <x v="42"/>
    <x v="0"/>
    <x v="0"/>
    <x v="0"/>
  </r>
  <r>
    <x v="43"/>
    <x v="22"/>
    <x v="2"/>
    <x v="2"/>
    <x v="6"/>
    <x v="15"/>
    <x v="43"/>
    <x v="0"/>
    <x v="43"/>
    <x v="0"/>
    <x v="0"/>
    <x v="0"/>
  </r>
  <r>
    <x v="44"/>
    <x v="22"/>
    <x v="2"/>
    <x v="7"/>
    <x v="5"/>
    <x v="11"/>
    <x v="44"/>
    <x v="0"/>
    <x v="44"/>
    <x v="0"/>
    <x v="0"/>
    <x v="0"/>
  </r>
  <r>
    <x v="45"/>
    <x v="22"/>
    <x v="2"/>
    <x v="7"/>
    <x v="6"/>
    <x v="2"/>
    <x v="45"/>
    <x v="0"/>
    <x v="45"/>
    <x v="1"/>
    <x v="1"/>
    <x v="0"/>
  </r>
  <r>
    <x v="46"/>
    <x v="23"/>
    <x v="2"/>
    <x v="7"/>
    <x v="2"/>
    <x v="26"/>
    <x v="46"/>
    <x v="0"/>
    <x v="46"/>
    <x v="1"/>
    <x v="1"/>
    <x v="0"/>
  </r>
  <r>
    <x v="47"/>
    <x v="23"/>
    <x v="0"/>
    <x v="10"/>
    <x v="10"/>
    <x v="24"/>
    <x v="47"/>
    <x v="1"/>
    <x v="47"/>
    <x v="1"/>
    <x v="1"/>
    <x v="0"/>
  </r>
  <r>
    <x v="48"/>
    <x v="24"/>
    <x v="3"/>
    <x v="3"/>
    <x v="3"/>
    <x v="6"/>
    <x v="48"/>
    <x v="0"/>
    <x v="48"/>
    <x v="0"/>
    <x v="0"/>
    <x v="0"/>
  </r>
  <r>
    <x v="49"/>
    <x v="24"/>
    <x v="2"/>
    <x v="5"/>
    <x v="5"/>
    <x v="27"/>
    <x v="49"/>
    <x v="0"/>
    <x v="49"/>
    <x v="1"/>
    <x v="1"/>
    <x v="0"/>
  </r>
  <r>
    <x v="50"/>
    <x v="24"/>
    <x v="2"/>
    <x v="7"/>
    <x v="6"/>
    <x v="16"/>
    <x v="50"/>
    <x v="0"/>
    <x v="50"/>
    <x v="2"/>
    <x v="2"/>
    <x v="0"/>
  </r>
  <r>
    <x v="51"/>
    <x v="25"/>
    <x v="2"/>
    <x v="7"/>
    <x v="6"/>
    <x v="13"/>
    <x v="51"/>
    <x v="0"/>
    <x v="51"/>
    <x v="0"/>
    <x v="0"/>
    <x v="0"/>
  </r>
  <r>
    <x v="52"/>
    <x v="26"/>
    <x v="0"/>
    <x v="0"/>
    <x v="0"/>
    <x v="28"/>
    <x v="52"/>
    <x v="0"/>
    <x v="52"/>
    <x v="2"/>
    <x v="2"/>
    <x v="0"/>
  </r>
  <r>
    <x v="53"/>
    <x v="26"/>
    <x v="3"/>
    <x v="6"/>
    <x v="3"/>
    <x v="5"/>
    <x v="53"/>
    <x v="0"/>
    <x v="53"/>
    <x v="2"/>
    <x v="2"/>
    <x v="0"/>
  </r>
  <r>
    <x v="54"/>
    <x v="27"/>
    <x v="3"/>
    <x v="6"/>
    <x v="6"/>
    <x v="22"/>
    <x v="54"/>
    <x v="0"/>
    <x v="54"/>
    <x v="2"/>
    <x v="2"/>
    <x v="0"/>
  </r>
  <r>
    <x v="55"/>
    <x v="27"/>
    <x v="2"/>
    <x v="2"/>
    <x v="5"/>
    <x v="29"/>
    <x v="55"/>
    <x v="1"/>
    <x v="55"/>
    <x v="1"/>
    <x v="1"/>
    <x v="0"/>
  </r>
  <r>
    <x v="56"/>
    <x v="28"/>
    <x v="2"/>
    <x v="2"/>
    <x v="5"/>
    <x v="30"/>
    <x v="56"/>
    <x v="1"/>
    <x v="56"/>
    <x v="1"/>
    <x v="1"/>
    <x v="0"/>
  </r>
  <r>
    <x v="57"/>
    <x v="28"/>
    <x v="0"/>
    <x v="10"/>
    <x v="0"/>
    <x v="23"/>
    <x v="57"/>
    <x v="0"/>
    <x v="57"/>
    <x v="2"/>
    <x v="2"/>
    <x v="0"/>
  </r>
  <r>
    <x v="58"/>
    <x v="29"/>
    <x v="1"/>
    <x v="1"/>
    <x v="8"/>
    <x v="6"/>
    <x v="58"/>
    <x v="0"/>
    <x v="58"/>
    <x v="0"/>
    <x v="0"/>
    <x v="0"/>
  </r>
  <r>
    <x v="59"/>
    <x v="30"/>
    <x v="2"/>
    <x v="2"/>
    <x v="5"/>
    <x v="4"/>
    <x v="59"/>
    <x v="0"/>
    <x v="59"/>
    <x v="0"/>
    <x v="0"/>
    <x v="0"/>
  </r>
  <r>
    <x v="60"/>
    <x v="30"/>
    <x v="4"/>
    <x v="8"/>
    <x v="4"/>
    <x v="31"/>
    <x v="60"/>
    <x v="1"/>
    <x v="60"/>
    <x v="3"/>
    <x v="3"/>
    <x v="0"/>
  </r>
  <r>
    <x v="61"/>
    <x v="31"/>
    <x v="3"/>
    <x v="6"/>
    <x v="3"/>
    <x v="11"/>
    <x v="61"/>
    <x v="0"/>
    <x v="61"/>
    <x v="0"/>
    <x v="0"/>
    <x v="0"/>
  </r>
  <r>
    <x v="62"/>
    <x v="32"/>
    <x v="0"/>
    <x v="0"/>
    <x v="4"/>
    <x v="10"/>
    <x v="62"/>
    <x v="0"/>
    <x v="62"/>
    <x v="0"/>
    <x v="0"/>
    <x v="0"/>
  </r>
  <r>
    <x v="63"/>
    <x v="33"/>
    <x v="3"/>
    <x v="3"/>
    <x v="6"/>
    <x v="16"/>
    <x v="63"/>
    <x v="0"/>
    <x v="63"/>
    <x v="2"/>
    <x v="2"/>
    <x v="0"/>
  </r>
  <r>
    <x v="64"/>
    <x v="33"/>
    <x v="2"/>
    <x v="5"/>
    <x v="2"/>
    <x v="32"/>
    <x v="64"/>
    <x v="0"/>
    <x v="64"/>
    <x v="0"/>
    <x v="0"/>
    <x v="0"/>
  </r>
  <r>
    <x v="65"/>
    <x v="34"/>
    <x v="1"/>
    <x v="1"/>
    <x v="3"/>
    <x v="33"/>
    <x v="65"/>
    <x v="0"/>
    <x v="65"/>
    <x v="2"/>
    <x v="2"/>
    <x v="0"/>
  </r>
  <r>
    <x v="66"/>
    <x v="35"/>
    <x v="3"/>
    <x v="6"/>
    <x v="6"/>
    <x v="6"/>
    <x v="66"/>
    <x v="0"/>
    <x v="66"/>
    <x v="0"/>
    <x v="0"/>
    <x v="0"/>
  </r>
  <r>
    <x v="67"/>
    <x v="35"/>
    <x v="0"/>
    <x v="10"/>
    <x v="10"/>
    <x v="17"/>
    <x v="67"/>
    <x v="0"/>
    <x v="67"/>
    <x v="0"/>
    <x v="0"/>
    <x v="0"/>
  </r>
  <r>
    <x v="68"/>
    <x v="35"/>
    <x v="2"/>
    <x v="2"/>
    <x v="6"/>
    <x v="34"/>
    <x v="68"/>
    <x v="0"/>
    <x v="68"/>
    <x v="0"/>
    <x v="0"/>
    <x v="0"/>
  </r>
  <r>
    <x v="69"/>
    <x v="36"/>
    <x v="0"/>
    <x v="10"/>
    <x v="0"/>
    <x v="35"/>
    <x v="69"/>
    <x v="0"/>
    <x v="69"/>
    <x v="2"/>
    <x v="2"/>
    <x v="0"/>
  </r>
  <r>
    <x v="70"/>
    <x v="36"/>
    <x v="1"/>
    <x v="1"/>
    <x v="1"/>
    <x v="4"/>
    <x v="70"/>
    <x v="0"/>
    <x v="70"/>
    <x v="0"/>
    <x v="0"/>
    <x v="0"/>
  </r>
  <r>
    <x v="71"/>
    <x v="37"/>
    <x v="3"/>
    <x v="3"/>
    <x v="3"/>
    <x v="10"/>
    <x v="71"/>
    <x v="0"/>
    <x v="71"/>
    <x v="0"/>
    <x v="0"/>
    <x v="0"/>
  </r>
  <r>
    <x v="72"/>
    <x v="37"/>
    <x v="3"/>
    <x v="6"/>
    <x v="3"/>
    <x v="11"/>
    <x v="72"/>
    <x v="0"/>
    <x v="72"/>
    <x v="0"/>
    <x v="0"/>
    <x v="0"/>
  </r>
  <r>
    <x v="73"/>
    <x v="38"/>
    <x v="0"/>
    <x v="0"/>
    <x v="4"/>
    <x v="14"/>
    <x v="73"/>
    <x v="0"/>
    <x v="73"/>
    <x v="0"/>
    <x v="0"/>
    <x v="0"/>
  </r>
  <r>
    <x v="74"/>
    <x v="38"/>
    <x v="1"/>
    <x v="1"/>
    <x v="8"/>
    <x v="18"/>
    <x v="74"/>
    <x v="0"/>
    <x v="74"/>
    <x v="0"/>
    <x v="0"/>
    <x v="0"/>
  </r>
  <r>
    <x v="75"/>
    <x v="38"/>
    <x v="3"/>
    <x v="3"/>
    <x v="6"/>
    <x v="5"/>
    <x v="75"/>
    <x v="0"/>
    <x v="75"/>
    <x v="2"/>
    <x v="2"/>
    <x v="0"/>
  </r>
  <r>
    <x v="76"/>
    <x v="39"/>
    <x v="0"/>
    <x v="0"/>
    <x v="4"/>
    <x v="36"/>
    <x v="76"/>
    <x v="0"/>
    <x v="76"/>
    <x v="1"/>
    <x v="1"/>
    <x v="0"/>
  </r>
  <r>
    <x v="77"/>
    <x v="40"/>
    <x v="2"/>
    <x v="7"/>
    <x v="2"/>
    <x v="14"/>
    <x v="77"/>
    <x v="0"/>
    <x v="77"/>
    <x v="0"/>
    <x v="0"/>
    <x v="0"/>
  </r>
  <r>
    <x v="78"/>
    <x v="40"/>
    <x v="2"/>
    <x v="2"/>
    <x v="5"/>
    <x v="32"/>
    <x v="78"/>
    <x v="0"/>
    <x v="78"/>
    <x v="0"/>
    <x v="0"/>
    <x v="0"/>
  </r>
  <r>
    <x v="79"/>
    <x v="40"/>
    <x v="3"/>
    <x v="6"/>
    <x v="3"/>
    <x v="32"/>
    <x v="79"/>
    <x v="0"/>
    <x v="79"/>
    <x v="0"/>
    <x v="0"/>
    <x v="0"/>
  </r>
  <r>
    <x v="80"/>
    <x v="41"/>
    <x v="2"/>
    <x v="2"/>
    <x v="2"/>
    <x v="1"/>
    <x v="80"/>
    <x v="0"/>
    <x v="80"/>
    <x v="0"/>
    <x v="0"/>
    <x v="0"/>
  </r>
  <r>
    <x v="81"/>
    <x v="41"/>
    <x v="2"/>
    <x v="2"/>
    <x v="5"/>
    <x v="34"/>
    <x v="81"/>
    <x v="0"/>
    <x v="81"/>
    <x v="0"/>
    <x v="0"/>
    <x v="0"/>
  </r>
  <r>
    <x v="82"/>
    <x v="42"/>
    <x v="2"/>
    <x v="5"/>
    <x v="6"/>
    <x v="26"/>
    <x v="82"/>
    <x v="0"/>
    <x v="82"/>
    <x v="1"/>
    <x v="1"/>
    <x v="0"/>
  </r>
  <r>
    <x v="83"/>
    <x v="43"/>
    <x v="0"/>
    <x v="10"/>
    <x v="4"/>
    <x v="20"/>
    <x v="83"/>
    <x v="0"/>
    <x v="83"/>
    <x v="0"/>
    <x v="0"/>
    <x v="0"/>
  </r>
  <r>
    <x v="84"/>
    <x v="44"/>
    <x v="3"/>
    <x v="3"/>
    <x v="6"/>
    <x v="8"/>
    <x v="84"/>
    <x v="0"/>
    <x v="84"/>
    <x v="0"/>
    <x v="0"/>
    <x v="0"/>
  </r>
  <r>
    <x v="85"/>
    <x v="44"/>
    <x v="0"/>
    <x v="0"/>
    <x v="4"/>
    <x v="32"/>
    <x v="85"/>
    <x v="0"/>
    <x v="85"/>
    <x v="0"/>
    <x v="0"/>
    <x v="0"/>
  </r>
  <r>
    <x v="86"/>
    <x v="45"/>
    <x v="2"/>
    <x v="2"/>
    <x v="2"/>
    <x v="37"/>
    <x v="86"/>
    <x v="1"/>
    <x v="86"/>
    <x v="4"/>
    <x v="4"/>
    <x v="0"/>
  </r>
  <r>
    <x v="87"/>
    <x v="45"/>
    <x v="1"/>
    <x v="9"/>
    <x v="1"/>
    <x v="33"/>
    <x v="87"/>
    <x v="0"/>
    <x v="87"/>
    <x v="2"/>
    <x v="2"/>
    <x v="0"/>
  </r>
  <r>
    <x v="88"/>
    <x v="46"/>
    <x v="0"/>
    <x v="0"/>
    <x v="0"/>
    <x v="17"/>
    <x v="88"/>
    <x v="0"/>
    <x v="88"/>
    <x v="0"/>
    <x v="0"/>
    <x v="0"/>
  </r>
  <r>
    <x v="89"/>
    <x v="47"/>
    <x v="2"/>
    <x v="2"/>
    <x v="2"/>
    <x v="13"/>
    <x v="89"/>
    <x v="0"/>
    <x v="89"/>
    <x v="0"/>
    <x v="0"/>
    <x v="0"/>
  </r>
  <r>
    <x v="90"/>
    <x v="48"/>
    <x v="2"/>
    <x v="5"/>
    <x v="6"/>
    <x v="24"/>
    <x v="90"/>
    <x v="0"/>
    <x v="90"/>
    <x v="1"/>
    <x v="1"/>
    <x v="0"/>
  </r>
  <r>
    <x v="91"/>
    <x v="48"/>
    <x v="1"/>
    <x v="9"/>
    <x v="8"/>
    <x v="16"/>
    <x v="91"/>
    <x v="0"/>
    <x v="91"/>
    <x v="2"/>
    <x v="2"/>
    <x v="0"/>
  </r>
  <r>
    <x v="92"/>
    <x v="49"/>
    <x v="0"/>
    <x v="10"/>
    <x v="0"/>
    <x v="38"/>
    <x v="92"/>
    <x v="0"/>
    <x v="92"/>
    <x v="2"/>
    <x v="2"/>
    <x v="0"/>
  </r>
  <r>
    <x v="93"/>
    <x v="50"/>
    <x v="4"/>
    <x v="4"/>
    <x v="4"/>
    <x v="12"/>
    <x v="93"/>
    <x v="0"/>
    <x v="93"/>
    <x v="0"/>
    <x v="0"/>
    <x v="0"/>
  </r>
  <r>
    <x v="94"/>
    <x v="51"/>
    <x v="2"/>
    <x v="7"/>
    <x v="5"/>
    <x v="10"/>
    <x v="94"/>
    <x v="0"/>
    <x v="94"/>
    <x v="0"/>
    <x v="0"/>
    <x v="0"/>
  </r>
  <r>
    <x v="95"/>
    <x v="51"/>
    <x v="1"/>
    <x v="1"/>
    <x v="3"/>
    <x v="6"/>
    <x v="95"/>
    <x v="0"/>
    <x v="95"/>
    <x v="0"/>
    <x v="0"/>
    <x v="0"/>
  </r>
  <r>
    <x v="96"/>
    <x v="52"/>
    <x v="2"/>
    <x v="5"/>
    <x v="2"/>
    <x v="28"/>
    <x v="96"/>
    <x v="0"/>
    <x v="96"/>
    <x v="2"/>
    <x v="2"/>
    <x v="0"/>
  </r>
  <r>
    <x v="97"/>
    <x v="53"/>
    <x v="4"/>
    <x v="4"/>
    <x v="7"/>
    <x v="25"/>
    <x v="97"/>
    <x v="0"/>
    <x v="97"/>
    <x v="0"/>
    <x v="0"/>
    <x v="0"/>
  </r>
  <r>
    <x v="98"/>
    <x v="54"/>
    <x v="0"/>
    <x v="0"/>
    <x v="10"/>
    <x v="39"/>
    <x v="98"/>
    <x v="0"/>
    <x v="98"/>
    <x v="2"/>
    <x v="2"/>
    <x v="0"/>
  </r>
  <r>
    <x v="99"/>
    <x v="55"/>
    <x v="0"/>
    <x v="0"/>
    <x v="4"/>
    <x v="40"/>
    <x v="99"/>
    <x v="0"/>
    <x v="99"/>
    <x v="1"/>
    <x v="1"/>
    <x v="0"/>
  </r>
  <r>
    <x v="100"/>
    <x v="56"/>
    <x v="3"/>
    <x v="3"/>
    <x v="6"/>
    <x v="22"/>
    <x v="100"/>
    <x v="0"/>
    <x v="100"/>
    <x v="2"/>
    <x v="2"/>
    <x v="0"/>
  </r>
  <r>
    <x v="101"/>
    <x v="57"/>
    <x v="3"/>
    <x v="6"/>
    <x v="3"/>
    <x v="6"/>
    <x v="101"/>
    <x v="0"/>
    <x v="101"/>
    <x v="0"/>
    <x v="0"/>
    <x v="0"/>
  </r>
  <r>
    <x v="102"/>
    <x v="58"/>
    <x v="0"/>
    <x v="10"/>
    <x v="0"/>
    <x v="18"/>
    <x v="102"/>
    <x v="0"/>
    <x v="102"/>
    <x v="0"/>
    <x v="0"/>
    <x v="0"/>
  </r>
  <r>
    <x v="103"/>
    <x v="58"/>
    <x v="1"/>
    <x v="1"/>
    <x v="3"/>
    <x v="41"/>
    <x v="103"/>
    <x v="0"/>
    <x v="103"/>
    <x v="2"/>
    <x v="2"/>
    <x v="0"/>
  </r>
  <r>
    <x v="104"/>
    <x v="59"/>
    <x v="2"/>
    <x v="2"/>
    <x v="2"/>
    <x v="35"/>
    <x v="104"/>
    <x v="0"/>
    <x v="104"/>
    <x v="2"/>
    <x v="2"/>
    <x v="0"/>
  </r>
  <r>
    <x v="105"/>
    <x v="59"/>
    <x v="0"/>
    <x v="10"/>
    <x v="10"/>
    <x v="5"/>
    <x v="105"/>
    <x v="0"/>
    <x v="105"/>
    <x v="2"/>
    <x v="2"/>
    <x v="0"/>
  </r>
  <r>
    <x v="106"/>
    <x v="60"/>
    <x v="1"/>
    <x v="9"/>
    <x v="8"/>
    <x v="21"/>
    <x v="106"/>
    <x v="0"/>
    <x v="106"/>
    <x v="2"/>
    <x v="2"/>
    <x v="0"/>
  </r>
  <r>
    <x v="107"/>
    <x v="61"/>
    <x v="2"/>
    <x v="5"/>
    <x v="2"/>
    <x v="0"/>
    <x v="107"/>
    <x v="0"/>
    <x v="107"/>
    <x v="0"/>
    <x v="0"/>
    <x v="0"/>
  </r>
  <r>
    <x v="108"/>
    <x v="62"/>
    <x v="2"/>
    <x v="2"/>
    <x v="2"/>
    <x v="24"/>
    <x v="108"/>
    <x v="0"/>
    <x v="108"/>
    <x v="1"/>
    <x v="1"/>
    <x v="0"/>
  </r>
  <r>
    <x v="109"/>
    <x v="63"/>
    <x v="2"/>
    <x v="2"/>
    <x v="2"/>
    <x v="8"/>
    <x v="109"/>
    <x v="0"/>
    <x v="109"/>
    <x v="0"/>
    <x v="0"/>
    <x v="0"/>
  </r>
  <r>
    <x v="110"/>
    <x v="63"/>
    <x v="0"/>
    <x v="0"/>
    <x v="4"/>
    <x v="42"/>
    <x v="110"/>
    <x v="0"/>
    <x v="110"/>
    <x v="0"/>
    <x v="0"/>
    <x v="0"/>
  </r>
  <r>
    <x v="111"/>
    <x v="64"/>
    <x v="2"/>
    <x v="7"/>
    <x v="2"/>
    <x v="15"/>
    <x v="111"/>
    <x v="0"/>
    <x v="111"/>
    <x v="0"/>
    <x v="0"/>
    <x v="0"/>
  </r>
  <r>
    <x v="112"/>
    <x v="64"/>
    <x v="2"/>
    <x v="5"/>
    <x v="5"/>
    <x v="39"/>
    <x v="112"/>
    <x v="0"/>
    <x v="112"/>
    <x v="2"/>
    <x v="2"/>
    <x v="0"/>
  </r>
  <r>
    <x v="113"/>
    <x v="64"/>
    <x v="2"/>
    <x v="2"/>
    <x v="6"/>
    <x v="20"/>
    <x v="113"/>
    <x v="0"/>
    <x v="113"/>
    <x v="0"/>
    <x v="0"/>
    <x v="0"/>
  </r>
  <r>
    <x v="114"/>
    <x v="65"/>
    <x v="1"/>
    <x v="9"/>
    <x v="1"/>
    <x v="10"/>
    <x v="114"/>
    <x v="0"/>
    <x v="114"/>
    <x v="0"/>
    <x v="0"/>
    <x v="0"/>
  </r>
  <r>
    <x v="115"/>
    <x v="65"/>
    <x v="2"/>
    <x v="5"/>
    <x v="6"/>
    <x v="43"/>
    <x v="115"/>
    <x v="1"/>
    <x v="29"/>
    <x v="4"/>
    <x v="4"/>
    <x v="0"/>
  </r>
  <r>
    <x v="116"/>
    <x v="66"/>
    <x v="0"/>
    <x v="10"/>
    <x v="4"/>
    <x v="8"/>
    <x v="116"/>
    <x v="0"/>
    <x v="115"/>
    <x v="0"/>
    <x v="0"/>
    <x v="0"/>
  </r>
  <r>
    <x v="117"/>
    <x v="66"/>
    <x v="3"/>
    <x v="3"/>
    <x v="11"/>
    <x v="12"/>
    <x v="117"/>
    <x v="0"/>
    <x v="116"/>
    <x v="0"/>
    <x v="0"/>
    <x v="0"/>
  </r>
  <r>
    <x v="118"/>
    <x v="67"/>
    <x v="4"/>
    <x v="8"/>
    <x v="9"/>
    <x v="26"/>
    <x v="118"/>
    <x v="0"/>
    <x v="117"/>
    <x v="1"/>
    <x v="1"/>
    <x v="0"/>
  </r>
  <r>
    <x v="119"/>
    <x v="67"/>
    <x v="1"/>
    <x v="9"/>
    <x v="1"/>
    <x v="44"/>
    <x v="119"/>
    <x v="0"/>
    <x v="91"/>
    <x v="2"/>
    <x v="2"/>
    <x v="0"/>
  </r>
  <r>
    <x v="120"/>
    <x v="67"/>
    <x v="2"/>
    <x v="5"/>
    <x v="2"/>
    <x v="45"/>
    <x v="120"/>
    <x v="0"/>
    <x v="118"/>
    <x v="2"/>
    <x v="2"/>
    <x v="0"/>
  </r>
  <r>
    <x v="121"/>
    <x v="67"/>
    <x v="2"/>
    <x v="5"/>
    <x v="6"/>
    <x v="18"/>
    <x v="121"/>
    <x v="0"/>
    <x v="119"/>
    <x v="0"/>
    <x v="0"/>
    <x v="0"/>
  </r>
  <r>
    <x v="122"/>
    <x v="68"/>
    <x v="4"/>
    <x v="4"/>
    <x v="7"/>
    <x v="46"/>
    <x v="122"/>
    <x v="0"/>
    <x v="120"/>
    <x v="4"/>
    <x v="4"/>
    <x v="0"/>
  </r>
  <r>
    <x v="123"/>
    <x v="68"/>
    <x v="3"/>
    <x v="6"/>
    <x v="11"/>
    <x v="3"/>
    <x v="123"/>
    <x v="1"/>
    <x v="121"/>
    <x v="1"/>
    <x v="1"/>
    <x v="0"/>
  </r>
  <r>
    <x v="124"/>
    <x v="68"/>
    <x v="2"/>
    <x v="7"/>
    <x v="2"/>
    <x v="16"/>
    <x v="124"/>
    <x v="0"/>
    <x v="122"/>
    <x v="2"/>
    <x v="2"/>
    <x v="0"/>
  </r>
  <r>
    <x v="125"/>
    <x v="68"/>
    <x v="3"/>
    <x v="3"/>
    <x v="11"/>
    <x v="47"/>
    <x v="125"/>
    <x v="0"/>
    <x v="123"/>
    <x v="2"/>
    <x v="2"/>
    <x v="0"/>
  </r>
  <r>
    <x v="126"/>
    <x v="69"/>
    <x v="3"/>
    <x v="6"/>
    <x v="6"/>
    <x v="19"/>
    <x v="126"/>
    <x v="0"/>
    <x v="124"/>
    <x v="0"/>
    <x v="0"/>
    <x v="0"/>
  </r>
  <r>
    <x v="127"/>
    <x v="69"/>
    <x v="2"/>
    <x v="7"/>
    <x v="2"/>
    <x v="40"/>
    <x v="127"/>
    <x v="0"/>
    <x v="125"/>
    <x v="1"/>
    <x v="1"/>
    <x v="0"/>
  </r>
  <r>
    <x v="128"/>
    <x v="70"/>
    <x v="2"/>
    <x v="2"/>
    <x v="5"/>
    <x v="2"/>
    <x v="128"/>
    <x v="0"/>
    <x v="126"/>
    <x v="1"/>
    <x v="1"/>
    <x v="0"/>
  </r>
  <r>
    <x v="129"/>
    <x v="71"/>
    <x v="0"/>
    <x v="10"/>
    <x v="0"/>
    <x v="36"/>
    <x v="129"/>
    <x v="0"/>
    <x v="127"/>
    <x v="1"/>
    <x v="1"/>
    <x v="0"/>
  </r>
  <r>
    <x v="130"/>
    <x v="72"/>
    <x v="0"/>
    <x v="0"/>
    <x v="10"/>
    <x v="25"/>
    <x v="130"/>
    <x v="0"/>
    <x v="128"/>
    <x v="0"/>
    <x v="0"/>
    <x v="0"/>
  </r>
  <r>
    <x v="131"/>
    <x v="73"/>
    <x v="4"/>
    <x v="8"/>
    <x v="9"/>
    <x v="14"/>
    <x v="131"/>
    <x v="0"/>
    <x v="129"/>
    <x v="0"/>
    <x v="0"/>
    <x v="0"/>
  </r>
  <r>
    <x v="132"/>
    <x v="73"/>
    <x v="2"/>
    <x v="2"/>
    <x v="5"/>
    <x v="5"/>
    <x v="132"/>
    <x v="0"/>
    <x v="130"/>
    <x v="2"/>
    <x v="2"/>
    <x v="0"/>
  </r>
  <r>
    <x v="133"/>
    <x v="73"/>
    <x v="0"/>
    <x v="0"/>
    <x v="0"/>
    <x v="11"/>
    <x v="133"/>
    <x v="0"/>
    <x v="131"/>
    <x v="0"/>
    <x v="0"/>
    <x v="0"/>
  </r>
  <r>
    <x v="134"/>
    <x v="74"/>
    <x v="1"/>
    <x v="9"/>
    <x v="3"/>
    <x v="10"/>
    <x v="134"/>
    <x v="0"/>
    <x v="132"/>
    <x v="0"/>
    <x v="0"/>
    <x v="0"/>
  </r>
  <r>
    <x v="135"/>
    <x v="75"/>
    <x v="2"/>
    <x v="2"/>
    <x v="6"/>
    <x v="48"/>
    <x v="135"/>
    <x v="0"/>
    <x v="133"/>
    <x v="1"/>
    <x v="1"/>
    <x v="0"/>
  </r>
  <r>
    <x v="136"/>
    <x v="76"/>
    <x v="1"/>
    <x v="1"/>
    <x v="3"/>
    <x v="15"/>
    <x v="136"/>
    <x v="0"/>
    <x v="134"/>
    <x v="0"/>
    <x v="0"/>
    <x v="0"/>
  </r>
  <r>
    <x v="137"/>
    <x v="77"/>
    <x v="3"/>
    <x v="3"/>
    <x v="11"/>
    <x v="49"/>
    <x v="137"/>
    <x v="0"/>
    <x v="135"/>
    <x v="0"/>
    <x v="0"/>
    <x v="0"/>
  </r>
  <r>
    <x v="138"/>
    <x v="78"/>
    <x v="3"/>
    <x v="6"/>
    <x v="3"/>
    <x v="12"/>
    <x v="138"/>
    <x v="0"/>
    <x v="136"/>
    <x v="0"/>
    <x v="0"/>
    <x v="0"/>
  </r>
  <r>
    <x v="139"/>
    <x v="78"/>
    <x v="2"/>
    <x v="2"/>
    <x v="6"/>
    <x v="50"/>
    <x v="139"/>
    <x v="1"/>
    <x v="137"/>
    <x v="4"/>
    <x v="4"/>
    <x v="0"/>
  </r>
  <r>
    <x v="140"/>
    <x v="79"/>
    <x v="2"/>
    <x v="5"/>
    <x v="5"/>
    <x v="34"/>
    <x v="140"/>
    <x v="0"/>
    <x v="138"/>
    <x v="0"/>
    <x v="0"/>
    <x v="0"/>
  </r>
  <r>
    <x v="141"/>
    <x v="80"/>
    <x v="2"/>
    <x v="2"/>
    <x v="5"/>
    <x v="2"/>
    <x v="141"/>
    <x v="0"/>
    <x v="139"/>
    <x v="1"/>
    <x v="1"/>
    <x v="0"/>
  </r>
  <r>
    <x v="142"/>
    <x v="80"/>
    <x v="2"/>
    <x v="5"/>
    <x v="2"/>
    <x v="36"/>
    <x v="142"/>
    <x v="0"/>
    <x v="140"/>
    <x v="1"/>
    <x v="1"/>
    <x v="0"/>
  </r>
  <r>
    <x v="143"/>
    <x v="81"/>
    <x v="3"/>
    <x v="3"/>
    <x v="3"/>
    <x v="34"/>
    <x v="58"/>
    <x v="0"/>
    <x v="141"/>
    <x v="0"/>
    <x v="0"/>
    <x v="0"/>
  </r>
  <r>
    <x v="144"/>
    <x v="82"/>
    <x v="2"/>
    <x v="7"/>
    <x v="5"/>
    <x v="25"/>
    <x v="143"/>
    <x v="0"/>
    <x v="142"/>
    <x v="0"/>
    <x v="0"/>
    <x v="0"/>
  </r>
  <r>
    <x v="145"/>
    <x v="82"/>
    <x v="4"/>
    <x v="8"/>
    <x v="7"/>
    <x v="51"/>
    <x v="144"/>
    <x v="0"/>
    <x v="143"/>
    <x v="1"/>
    <x v="1"/>
    <x v="0"/>
  </r>
  <r>
    <x v="146"/>
    <x v="83"/>
    <x v="0"/>
    <x v="0"/>
    <x v="10"/>
    <x v="4"/>
    <x v="145"/>
    <x v="0"/>
    <x v="144"/>
    <x v="0"/>
    <x v="0"/>
    <x v="0"/>
  </r>
  <r>
    <x v="147"/>
    <x v="84"/>
    <x v="1"/>
    <x v="9"/>
    <x v="3"/>
    <x v="35"/>
    <x v="146"/>
    <x v="0"/>
    <x v="145"/>
    <x v="2"/>
    <x v="2"/>
    <x v="0"/>
  </r>
  <r>
    <x v="148"/>
    <x v="84"/>
    <x v="2"/>
    <x v="5"/>
    <x v="5"/>
    <x v="6"/>
    <x v="147"/>
    <x v="0"/>
    <x v="146"/>
    <x v="0"/>
    <x v="0"/>
    <x v="0"/>
  </r>
  <r>
    <x v="149"/>
    <x v="84"/>
    <x v="1"/>
    <x v="1"/>
    <x v="3"/>
    <x v="42"/>
    <x v="148"/>
    <x v="1"/>
    <x v="147"/>
    <x v="0"/>
    <x v="0"/>
    <x v="0"/>
  </r>
  <r>
    <x v="150"/>
    <x v="84"/>
    <x v="1"/>
    <x v="9"/>
    <x v="1"/>
    <x v="38"/>
    <x v="149"/>
    <x v="0"/>
    <x v="148"/>
    <x v="2"/>
    <x v="2"/>
    <x v="0"/>
  </r>
  <r>
    <x v="151"/>
    <x v="85"/>
    <x v="4"/>
    <x v="8"/>
    <x v="4"/>
    <x v="36"/>
    <x v="150"/>
    <x v="0"/>
    <x v="149"/>
    <x v="1"/>
    <x v="1"/>
    <x v="0"/>
  </r>
  <r>
    <x v="152"/>
    <x v="86"/>
    <x v="3"/>
    <x v="3"/>
    <x v="3"/>
    <x v="36"/>
    <x v="151"/>
    <x v="1"/>
    <x v="150"/>
    <x v="1"/>
    <x v="1"/>
    <x v="0"/>
  </r>
  <r>
    <x v="153"/>
    <x v="87"/>
    <x v="2"/>
    <x v="7"/>
    <x v="5"/>
    <x v="13"/>
    <x v="152"/>
    <x v="0"/>
    <x v="151"/>
    <x v="0"/>
    <x v="0"/>
    <x v="0"/>
  </r>
  <r>
    <x v="154"/>
    <x v="87"/>
    <x v="3"/>
    <x v="3"/>
    <x v="6"/>
    <x v="4"/>
    <x v="153"/>
    <x v="0"/>
    <x v="152"/>
    <x v="0"/>
    <x v="0"/>
    <x v="0"/>
  </r>
  <r>
    <x v="155"/>
    <x v="88"/>
    <x v="1"/>
    <x v="9"/>
    <x v="3"/>
    <x v="44"/>
    <x v="154"/>
    <x v="0"/>
    <x v="153"/>
    <x v="2"/>
    <x v="2"/>
    <x v="0"/>
  </r>
  <r>
    <x v="156"/>
    <x v="88"/>
    <x v="1"/>
    <x v="9"/>
    <x v="1"/>
    <x v="22"/>
    <x v="155"/>
    <x v="0"/>
    <x v="154"/>
    <x v="2"/>
    <x v="2"/>
    <x v="0"/>
  </r>
  <r>
    <x v="157"/>
    <x v="88"/>
    <x v="2"/>
    <x v="2"/>
    <x v="5"/>
    <x v="45"/>
    <x v="156"/>
    <x v="0"/>
    <x v="155"/>
    <x v="2"/>
    <x v="2"/>
    <x v="0"/>
  </r>
  <r>
    <x v="158"/>
    <x v="89"/>
    <x v="4"/>
    <x v="4"/>
    <x v="9"/>
    <x v="1"/>
    <x v="157"/>
    <x v="0"/>
    <x v="156"/>
    <x v="0"/>
    <x v="0"/>
    <x v="0"/>
  </r>
  <r>
    <x v="159"/>
    <x v="89"/>
    <x v="3"/>
    <x v="3"/>
    <x v="11"/>
    <x v="11"/>
    <x v="158"/>
    <x v="0"/>
    <x v="157"/>
    <x v="0"/>
    <x v="0"/>
    <x v="0"/>
  </r>
  <r>
    <x v="160"/>
    <x v="90"/>
    <x v="2"/>
    <x v="7"/>
    <x v="6"/>
    <x v="11"/>
    <x v="159"/>
    <x v="0"/>
    <x v="158"/>
    <x v="0"/>
    <x v="0"/>
    <x v="0"/>
  </r>
  <r>
    <x v="161"/>
    <x v="90"/>
    <x v="4"/>
    <x v="4"/>
    <x v="7"/>
    <x v="0"/>
    <x v="160"/>
    <x v="0"/>
    <x v="159"/>
    <x v="0"/>
    <x v="0"/>
    <x v="0"/>
  </r>
  <r>
    <x v="162"/>
    <x v="91"/>
    <x v="2"/>
    <x v="5"/>
    <x v="6"/>
    <x v="42"/>
    <x v="161"/>
    <x v="0"/>
    <x v="160"/>
    <x v="0"/>
    <x v="0"/>
    <x v="0"/>
  </r>
  <r>
    <x v="163"/>
    <x v="92"/>
    <x v="3"/>
    <x v="3"/>
    <x v="11"/>
    <x v="49"/>
    <x v="162"/>
    <x v="0"/>
    <x v="161"/>
    <x v="0"/>
    <x v="0"/>
    <x v="0"/>
  </r>
  <r>
    <x v="164"/>
    <x v="93"/>
    <x v="0"/>
    <x v="0"/>
    <x v="0"/>
    <x v="35"/>
    <x v="163"/>
    <x v="0"/>
    <x v="162"/>
    <x v="2"/>
    <x v="2"/>
    <x v="0"/>
  </r>
  <r>
    <x v="165"/>
    <x v="93"/>
    <x v="0"/>
    <x v="10"/>
    <x v="10"/>
    <x v="8"/>
    <x v="164"/>
    <x v="0"/>
    <x v="163"/>
    <x v="0"/>
    <x v="0"/>
    <x v="0"/>
  </r>
  <r>
    <x v="166"/>
    <x v="93"/>
    <x v="1"/>
    <x v="1"/>
    <x v="3"/>
    <x v="8"/>
    <x v="165"/>
    <x v="0"/>
    <x v="164"/>
    <x v="0"/>
    <x v="0"/>
    <x v="0"/>
  </r>
  <r>
    <x v="167"/>
    <x v="94"/>
    <x v="3"/>
    <x v="3"/>
    <x v="11"/>
    <x v="20"/>
    <x v="166"/>
    <x v="0"/>
    <x v="165"/>
    <x v="0"/>
    <x v="0"/>
    <x v="0"/>
  </r>
  <r>
    <x v="168"/>
    <x v="95"/>
    <x v="2"/>
    <x v="7"/>
    <x v="2"/>
    <x v="17"/>
    <x v="167"/>
    <x v="0"/>
    <x v="166"/>
    <x v="0"/>
    <x v="0"/>
    <x v="0"/>
  </r>
  <r>
    <x v="169"/>
    <x v="95"/>
    <x v="3"/>
    <x v="6"/>
    <x v="11"/>
    <x v="15"/>
    <x v="168"/>
    <x v="0"/>
    <x v="167"/>
    <x v="0"/>
    <x v="0"/>
    <x v="0"/>
  </r>
  <r>
    <x v="170"/>
    <x v="95"/>
    <x v="1"/>
    <x v="1"/>
    <x v="8"/>
    <x v="18"/>
    <x v="169"/>
    <x v="0"/>
    <x v="168"/>
    <x v="0"/>
    <x v="0"/>
    <x v="0"/>
  </r>
  <r>
    <x v="171"/>
    <x v="95"/>
    <x v="1"/>
    <x v="1"/>
    <x v="8"/>
    <x v="20"/>
    <x v="170"/>
    <x v="1"/>
    <x v="169"/>
    <x v="0"/>
    <x v="0"/>
    <x v="0"/>
  </r>
  <r>
    <x v="172"/>
    <x v="96"/>
    <x v="3"/>
    <x v="3"/>
    <x v="11"/>
    <x v="18"/>
    <x v="171"/>
    <x v="0"/>
    <x v="170"/>
    <x v="0"/>
    <x v="0"/>
    <x v="0"/>
  </r>
  <r>
    <x v="173"/>
    <x v="97"/>
    <x v="2"/>
    <x v="5"/>
    <x v="5"/>
    <x v="25"/>
    <x v="172"/>
    <x v="0"/>
    <x v="171"/>
    <x v="0"/>
    <x v="0"/>
    <x v="0"/>
  </r>
  <r>
    <x v="174"/>
    <x v="98"/>
    <x v="2"/>
    <x v="7"/>
    <x v="5"/>
    <x v="0"/>
    <x v="173"/>
    <x v="0"/>
    <x v="172"/>
    <x v="0"/>
    <x v="0"/>
    <x v="0"/>
  </r>
  <r>
    <x v="175"/>
    <x v="98"/>
    <x v="0"/>
    <x v="10"/>
    <x v="4"/>
    <x v="14"/>
    <x v="174"/>
    <x v="0"/>
    <x v="173"/>
    <x v="0"/>
    <x v="0"/>
    <x v="0"/>
  </r>
  <r>
    <x v="176"/>
    <x v="98"/>
    <x v="0"/>
    <x v="0"/>
    <x v="0"/>
    <x v="12"/>
    <x v="175"/>
    <x v="0"/>
    <x v="174"/>
    <x v="0"/>
    <x v="0"/>
    <x v="0"/>
  </r>
  <r>
    <x v="177"/>
    <x v="99"/>
    <x v="3"/>
    <x v="3"/>
    <x v="3"/>
    <x v="0"/>
    <x v="176"/>
    <x v="0"/>
    <x v="175"/>
    <x v="0"/>
    <x v="0"/>
    <x v="0"/>
  </r>
  <r>
    <x v="178"/>
    <x v="100"/>
    <x v="0"/>
    <x v="0"/>
    <x v="10"/>
    <x v="52"/>
    <x v="177"/>
    <x v="0"/>
    <x v="176"/>
    <x v="1"/>
    <x v="1"/>
    <x v="0"/>
  </r>
  <r>
    <x v="179"/>
    <x v="100"/>
    <x v="2"/>
    <x v="5"/>
    <x v="2"/>
    <x v="8"/>
    <x v="178"/>
    <x v="0"/>
    <x v="177"/>
    <x v="0"/>
    <x v="0"/>
    <x v="0"/>
  </r>
  <r>
    <x v="180"/>
    <x v="101"/>
    <x v="0"/>
    <x v="10"/>
    <x v="4"/>
    <x v="53"/>
    <x v="179"/>
    <x v="0"/>
    <x v="178"/>
    <x v="2"/>
    <x v="2"/>
    <x v="0"/>
  </r>
  <r>
    <x v="181"/>
    <x v="102"/>
    <x v="2"/>
    <x v="5"/>
    <x v="5"/>
    <x v="24"/>
    <x v="180"/>
    <x v="0"/>
    <x v="179"/>
    <x v="1"/>
    <x v="1"/>
    <x v="0"/>
  </r>
  <r>
    <x v="182"/>
    <x v="103"/>
    <x v="1"/>
    <x v="9"/>
    <x v="8"/>
    <x v="5"/>
    <x v="181"/>
    <x v="0"/>
    <x v="180"/>
    <x v="2"/>
    <x v="2"/>
    <x v="0"/>
  </r>
  <r>
    <x v="183"/>
    <x v="104"/>
    <x v="3"/>
    <x v="6"/>
    <x v="6"/>
    <x v="20"/>
    <x v="182"/>
    <x v="0"/>
    <x v="181"/>
    <x v="0"/>
    <x v="0"/>
    <x v="0"/>
  </r>
  <r>
    <x v="184"/>
    <x v="104"/>
    <x v="1"/>
    <x v="9"/>
    <x v="1"/>
    <x v="22"/>
    <x v="183"/>
    <x v="0"/>
    <x v="182"/>
    <x v="2"/>
    <x v="2"/>
    <x v="0"/>
  </r>
  <r>
    <x v="185"/>
    <x v="105"/>
    <x v="1"/>
    <x v="1"/>
    <x v="3"/>
    <x v="8"/>
    <x v="184"/>
    <x v="0"/>
    <x v="183"/>
    <x v="0"/>
    <x v="0"/>
    <x v="0"/>
  </r>
  <r>
    <x v="186"/>
    <x v="106"/>
    <x v="2"/>
    <x v="2"/>
    <x v="2"/>
    <x v="14"/>
    <x v="185"/>
    <x v="0"/>
    <x v="184"/>
    <x v="0"/>
    <x v="0"/>
    <x v="0"/>
  </r>
  <r>
    <x v="187"/>
    <x v="107"/>
    <x v="3"/>
    <x v="3"/>
    <x v="6"/>
    <x v="5"/>
    <x v="186"/>
    <x v="0"/>
    <x v="185"/>
    <x v="2"/>
    <x v="2"/>
    <x v="0"/>
  </r>
  <r>
    <x v="188"/>
    <x v="108"/>
    <x v="2"/>
    <x v="5"/>
    <x v="6"/>
    <x v="14"/>
    <x v="187"/>
    <x v="0"/>
    <x v="186"/>
    <x v="0"/>
    <x v="0"/>
    <x v="0"/>
  </r>
  <r>
    <x v="189"/>
    <x v="108"/>
    <x v="4"/>
    <x v="8"/>
    <x v="7"/>
    <x v="46"/>
    <x v="188"/>
    <x v="0"/>
    <x v="187"/>
    <x v="4"/>
    <x v="4"/>
    <x v="0"/>
  </r>
  <r>
    <x v="190"/>
    <x v="109"/>
    <x v="0"/>
    <x v="0"/>
    <x v="10"/>
    <x v="39"/>
    <x v="189"/>
    <x v="0"/>
    <x v="188"/>
    <x v="2"/>
    <x v="2"/>
    <x v="0"/>
  </r>
  <r>
    <x v="191"/>
    <x v="110"/>
    <x v="1"/>
    <x v="9"/>
    <x v="8"/>
    <x v="44"/>
    <x v="190"/>
    <x v="0"/>
    <x v="189"/>
    <x v="2"/>
    <x v="2"/>
    <x v="0"/>
  </r>
  <r>
    <x v="192"/>
    <x v="111"/>
    <x v="3"/>
    <x v="6"/>
    <x v="3"/>
    <x v="5"/>
    <x v="191"/>
    <x v="0"/>
    <x v="190"/>
    <x v="2"/>
    <x v="2"/>
    <x v="0"/>
  </r>
  <r>
    <x v="193"/>
    <x v="111"/>
    <x v="1"/>
    <x v="1"/>
    <x v="3"/>
    <x v="14"/>
    <x v="192"/>
    <x v="1"/>
    <x v="191"/>
    <x v="0"/>
    <x v="0"/>
    <x v="0"/>
  </r>
  <r>
    <x v="194"/>
    <x v="111"/>
    <x v="3"/>
    <x v="3"/>
    <x v="6"/>
    <x v="17"/>
    <x v="193"/>
    <x v="0"/>
    <x v="192"/>
    <x v="0"/>
    <x v="0"/>
    <x v="0"/>
  </r>
  <r>
    <x v="195"/>
    <x v="111"/>
    <x v="4"/>
    <x v="8"/>
    <x v="4"/>
    <x v="54"/>
    <x v="194"/>
    <x v="0"/>
    <x v="193"/>
    <x v="4"/>
    <x v="4"/>
    <x v="0"/>
  </r>
  <r>
    <x v="196"/>
    <x v="112"/>
    <x v="4"/>
    <x v="8"/>
    <x v="4"/>
    <x v="29"/>
    <x v="195"/>
    <x v="0"/>
    <x v="194"/>
    <x v="1"/>
    <x v="1"/>
    <x v="0"/>
  </r>
  <r>
    <x v="197"/>
    <x v="113"/>
    <x v="3"/>
    <x v="6"/>
    <x v="11"/>
    <x v="20"/>
    <x v="196"/>
    <x v="0"/>
    <x v="195"/>
    <x v="0"/>
    <x v="0"/>
    <x v="0"/>
  </r>
  <r>
    <x v="198"/>
    <x v="113"/>
    <x v="2"/>
    <x v="7"/>
    <x v="6"/>
    <x v="23"/>
    <x v="197"/>
    <x v="0"/>
    <x v="196"/>
    <x v="2"/>
    <x v="2"/>
    <x v="0"/>
  </r>
  <r>
    <x v="199"/>
    <x v="114"/>
    <x v="1"/>
    <x v="9"/>
    <x v="8"/>
    <x v="4"/>
    <x v="198"/>
    <x v="0"/>
    <x v="197"/>
    <x v="0"/>
    <x v="0"/>
    <x v="0"/>
  </r>
  <r>
    <x v="200"/>
    <x v="115"/>
    <x v="2"/>
    <x v="5"/>
    <x v="5"/>
    <x v="42"/>
    <x v="199"/>
    <x v="0"/>
    <x v="198"/>
    <x v="0"/>
    <x v="0"/>
    <x v="0"/>
  </r>
  <r>
    <x v="201"/>
    <x v="115"/>
    <x v="2"/>
    <x v="5"/>
    <x v="5"/>
    <x v="13"/>
    <x v="200"/>
    <x v="0"/>
    <x v="199"/>
    <x v="0"/>
    <x v="0"/>
    <x v="0"/>
  </r>
  <r>
    <x v="202"/>
    <x v="116"/>
    <x v="4"/>
    <x v="4"/>
    <x v="4"/>
    <x v="55"/>
    <x v="201"/>
    <x v="1"/>
    <x v="200"/>
    <x v="4"/>
    <x v="4"/>
    <x v="0"/>
  </r>
  <r>
    <x v="203"/>
    <x v="117"/>
    <x v="4"/>
    <x v="8"/>
    <x v="9"/>
    <x v="43"/>
    <x v="202"/>
    <x v="0"/>
    <x v="201"/>
    <x v="4"/>
    <x v="4"/>
    <x v="0"/>
  </r>
  <r>
    <x v="204"/>
    <x v="117"/>
    <x v="2"/>
    <x v="7"/>
    <x v="5"/>
    <x v="56"/>
    <x v="203"/>
    <x v="0"/>
    <x v="202"/>
    <x v="1"/>
    <x v="1"/>
    <x v="0"/>
  </r>
  <r>
    <x v="205"/>
    <x v="117"/>
    <x v="4"/>
    <x v="4"/>
    <x v="7"/>
    <x v="51"/>
    <x v="204"/>
    <x v="0"/>
    <x v="203"/>
    <x v="1"/>
    <x v="1"/>
    <x v="0"/>
  </r>
  <r>
    <x v="206"/>
    <x v="118"/>
    <x v="3"/>
    <x v="3"/>
    <x v="6"/>
    <x v="11"/>
    <x v="205"/>
    <x v="0"/>
    <x v="204"/>
    <x v="0"/>
    <x v="0"/>
    <x v="0"/>
  </r>
  <r>
    <x v="207"/>
    <x v="118"/>
    <x v="2"/>
    <x v="2"/>
    <x v="6"/>
    <x v="3"/>
    <x v="206"/>
    <x v="0"/>
    <x v="205"/>
    <x v="1"/>
    <x v="1"/>
    <x v="0"/>
  </r>
  <r>
    <x v="208"/>
    <x v="118"/>
    <x v="3"/>
    <x v="3"/>
    <x v="6"/>
    <x v="11"/>
    <x v="207"/>
    <x v="0"/>
    <x v="206"/>
    <x v="0"/>
    <x v="0"/>
    <x v="0"/>
  </r>
  <r>
    <x v="209"/>
    <x v="118"/>
    <x v="1"/>
    <x v="1"/>
    <x v="3"/>
    <x v="15"/>
    <x v="208"/>
    <x v="0"/>
    <x v="207"/>
    <x v="0"/>
    <x v="0"/>
    <x v="0"/>
  </r>
  <r>
    <x v="210"/>
    <x v="118"/>
    <x v="3"/>
    <x v="3"/>
    <x v="11"/>
    <x v="51"/>
    <x v="209"/>
    <x v="1"/>
    <x v="208"/>
    <x v="1"/>
    <x v="1"/>
    <x v="0"/>
  </r>
  <r>
    <x v="211"/>
    <x v="119"/>
    <x v="0"/>
    <x v="10"/>
    <x v="4"/>
    <x v="6"/>
    <x v="210"/>
    <x v="0"/>
    <x v="209"/>
    <x v="0"/>
    <x v="0"/>
    <x v="0"/>
  </r>
  <r>
    <x v="212"/>
    <x v="119"/>
    <x v="2"/>
    <x v="2"/>
    <x v="6"/>
    <x v="14"/>
    <x v="211"/>
    <x v="0"/>
    <x v="210"/>
    <x v="0"/>
    <x v="0"/>
    <x v="0"/>
  </r>
  <r>
    <x v="213"/>
    <x v="119"/>
    <x v="3"/>
    <x v="6"/>
    <x v="11"/>
    <x v="49"/>
    <x v="212"/>
    <x v="0"/>
    <x v="211"/>
    <x v="0"/>
    <x v="0"/>
    <x v="0"/>
  </r>
  <r>
    <x v="214"/>
    <x v="119"/>
    <x v="1"/>
    <x v="9"/>
    <x v="8"/>
    <x v="8"/>
    <x v="213"/>
    <x v="0"/>
    <x v="212"/>
    <x v="0"/>
    <x v="0"/>
    <x v="0"/>
  </r>
  <r>
    <x v="215"/>
    <x v="120"/>
    <x v="2"/>
    <x v="7"/>
    <x v="6"/>
    <x v="53"/>
    <x v="214"/>
    <x v="0"/>
    <x v="213"/>
    <x v="2"/>
    <x v="2"/>
    <x v="0"/>
  </r>
  <r>
    <x v="216"/>
    <x v="121"/>
    <x v="2"/>
    <x v="2"/>
    <x v="5"/>
    <x v="20"/>
    <x v="215"/>
    <x v="0"/>
    <x v="214"/>
    <x v="0"/>
    <x v="0"/>
    <x v="0"/>
  </r>
  <r>
    <x v="217"/>
    <x v="122"/>
    <x v="1"/>
    <x v="1"/>
    <x v="3"/>
    <x v="5"/>
    <x v="216"/>
    <x v="0"/>
    <x v="215"/>
    <x v="2"/>
    <x v="2"/>
    <x v="0"/>
  </r>
  <r>
    <x v="218"/>
    <x v="122"/>
    <x v="1"/>
    <x v="9"/>
    <x v="1"/>
    <x v="25"/>
    <x v="217"/>
    <x v="1"/>
    <x v="216"/>
    <x v="0"/>
    <x v="0"/>
    <x v="0"/>
  </r>
  <r>
    <x v="219"/>
    <x v="123"/>
    <x v="1"/>
    <x v="9"/>
    <x v="1"/>
    <x v="22"/>
    <x v="218"/>
    <x v="0"/>
    <x v="217"/>
    <x v="2"/>
    <x v="2"/>
    <x v="0"/>
  </r>
  <r>
    <x v="220"/>
    <x v="123"/>
    <x v="0"/>
    <x v="10"/>
    <x v="10"/>
    <x v="11"/>
    <x v="219"/>
    <x v="0"/>
    <x v="218"/>
    <x v="0"/>
    <x v="0"/>
    <x v="0"/>
  </r>
  <r>
    <x v="221"/>
    <x v="123"/>
    <x v="4"/>
    <x v="8"/>
    <x v="9"/>
    <x v="49"/>
    <x v="220"/>
    <x v="0"/>
    <x v="219"/>
    <x v="0"/>
    <x v="0"/>
    <x v="0"/>
  </r>
  <r>
    <x v="222"/>
    <x v="124"/>
    <x v="0"/>
    <x v="0"/>
    <x v="0"/>
    <x v="14"/>
    <x v="221"/>
    <x v="0"/>
    <x v="220"/>
    <x v="0"/>
    <x v="0"/>
    <x v="0"/>
  </r>
  <r>
    <x v="223"/>
    <x v="125"/>
    <x v="3"/>
    <x v="3"/>
    <x v="11"/>
    <x v="6"/>
    <x v="222"/>
    <x v="0"/>
    <x v="221"/>
    <x v="0"/>
    <x v="0"/>
    <x v="0"/>
  </r>
  <r>
    <x v="224"/>
    <x v="126"/>
    <x v="0"/>
    <x v="0"/>
    <x v="10"/>
    <x v="44"/>
    <x v="223"/>
    <x v="0"/>
    <x v="222"/>
    <x v="2"/>
    <x v="2"/>
    <x v="0"/>
  </r>
  <r>
    <x v="225"/>
    <x v="126"/>
    <x v="4"/>
    <x v="8"/>
    <x v="7"/>
    <x v="57"/>
    <x v="224"/>
    <x v="0"/>
    <x v="223"/>
    <x v="4"/>
    <x v="4"/>
    <x v="0"/>
  </r>
  <r>
    <x v="226"/>
    <x v="126"/>
    <x v="0"/>
    <x v="0"/>
    <x v="10"/>
    <x v="27"/>
    <x v="225"/>
    <x v="1"/>
    <x v="224"/>
    <x v="1"/>
    <x v="1"/>
    <x v="0"/>
  </r>
  <r>
    <x v="227"/>
    <x v="127"/>
    <x v="2"/>
    <x v="2"/>
    <x v="2"/>
    <x v="56"/>
    <x v="226"/>
    <x v="0"/>
    <x v="225"/>
    <x v="1"/>
    <x v="1"/>
    <x v="0"/>
  </r>
  <r>
    <x v="228"/>
    <x v="128"/>
    <x v="3"/>
    <x v="3"/>
    <x v="6"/>
    <x v="15"/>
    <x v="227"/>
    <x v="0"/>
    <x v="226"/>
    <x v="0"/>
    <x v="0"/>
    <x v="0"/>
  </r>
  <r>
    <x v="229"/>
    <x v="129"/>
    <x v="4"/>
    <x v="4"/>
    <x v="9"/>
    <x v="21"/>
    <x v="228"/>
    <x v="0"/>
    <x v="102"/>
    <x v="2"/>
    <x v="2"/>
    <x v="0"/>
  </r>
  <r>
    <x v="230"/>
    <x v="130"/>
    <x v="3"/>
    <x v="3"/>
    <x v="6"/>
    <x v="5"/>
    <x v="229"/>
    <x v="0"/>
    <x v="227"/>
    <x v="2"/>
    <x v="2"/>
    <x v="0"/>
  </r>
  <r>
    <x v="231"/>
    <x v="131"/>
    <x v="1"/>
    <x v="9"/>
    <x v="8"/>
    <x v="32"/>
    <x v="230"/>
    <x v="1"/>
    <x v="228"/>
    <x v="0"/>
    <x v="0"/>
    <x v="0"/>
  </r>
  <r>
    <x v="232"/>
    <x v="132"/>
    <x v="1"/>
    <x v="1"/>
    <x v="1"/>
    <x v="34"/>
    <x v="231"/>
    <x v="0"/>
    <x v="229"/>
    <x v="0"/>
    <x v="0"/>
    <x v="0"/>
  </r>
  <r>
    <x v="233"/>
    <x v="133"/>
    <x v="3"/>
    <x v="3"/>
    <x v="11"/>
    <x v="34"/>
    <x v="232"/>
    <x v="0"/>
    <x v="230"/>
    <x v="0"/>
    <x v="0"/>
    <x v="0"/>
  </r>
  <r>
    <x v="234"/>
    <x v="134"/>
    <x v="0"/>
    <x v="0"/>
    <x v="10"/>
    <x v="6"/>
    <x v="233"/>
    <x v="0"/>
    <x v="231"/>
    <x v="0"/>
    <x v="0"/>
    <x v="0"/>
  </r>
  <r>
    <x v="235"/>
    <x v="134"/>
    <x v="1"/>
    <x v="1"/>
    <x v="8"/>
    <x v="45"/>
    <x v="234"/>
    <x v="0"/>
    <x v="232"/>
    <x v="2"/>
    <x v="2"/>
    <x v="0"/>
  </r>
  <r>
    <x v="236"/>
    <x v="134"/>
    <x v="0"/>
    <x v="10"/>
    <x v="4"/>
    <x v="13"/>
    <x v="235"/>
    <x v="0"/>
    <x v="233"/>
    <x v="0"/>
    <x v="0"/>
    <x v="0"/>
  </r>
  <r>
    <x v="237"/>
    <x v="135"/>
    <x v="3"/>
    <x v="6"/>
    <x v="11"/>
    <x v="39"/>
    <x v="236"/>
    <x v="0"/>
    <x v="234"/>
    <x v="2"/>
    <x v="2"/>
    <x v="0"/>
  </r>
  <r>
    <x v="238"/>
    <x v="136"/>
    <x v="1"/>
    <x v="1"/>
    <x v="3"/>
    <x v="38"/>
    <x v="237"/>
    <x v="0"/>
    <x v="235"/>
    <x v="2"/>
    <x v="2"/>
    <x v="0"/>
  </r>
  <r>
    <x v="239"/>
    <x v="136"/>
    <x v="2"/>
    <x v="5"/>
    <x v="6"/>
    <x v="52"/>
    <x v="238"/>
    <x v="0"/>
    <x v="236"/>
    <x v="1"/>
    <x v="1"/>
    <x v="0"/>
  </r>
  <r>
    <x v="240"/>
    <x v="137"/>
    <x v="3"/>
    <x v="6"/>
    <x v="11"/>
    <x v="42"/>
    <x v="239"/>
    <x v="0"/>
    <x v="237"/>
    <x v="0"/>
    <x v="0"/>
    <x v="0"/>
  </r>
  <r>
    <x v="241"/>
    <x v="137"/>
    <x v="0"/>
    <x v="0"/>
    <x v="4"/>
    <x v="58"/>
    <x v="240"/>
    <x v="1"/>
    <x v="238"/>
    <x v="1"/>
    <x v="1"/>
    <x v="0"/>
  </r>
  <r>
    <x v="242"/>
    <x v="137"/>
    <x v="2"/>
    <x v="5"/>
    <x v="5"/>
    <x v="14"/>
    <x v="241"/>
    <x v="0"/>
    <x v="239"/>
    <x v="0"/>
    <x v="0"/>
    <x v="0"/>
  </r>
  <r>
    <x v="243"/>
    <x v="138"/>
    <x v="0"/>
    <x v="10"/>
    <x v="10"/>
    <x v="35"/>
    <x v="32"/>
    <x v="0"/>
    <x v="240"/>
    <x v="2"/>
    <x v="2"/>
    <x v="0"/>
  </r>
  <r>
    <x v="244"/>
    <x v="139"/>
    <x v="2"/>
    <x v="5"/>
    <x v="5"/>
    <x v="32"/>
    <x v="242"/>
    <x v="0"/>
    <x v="241"/>
    <x v="0"/>
    <x v="0"/>
    <x v="0"/>
  </r>
  <r>
    <x v="245"/>
    <x v="140"/>
    <x v="4"/>
    <x v="8"/>
    <x v="9"/>
    <x v="22"/>
    <x v="243"/>
    <x v="0"/>
    <x v="242"/>
    <x v="2"/>
    <x v="2"/>
    <x v="0"/>
  </r>
  <r>
    <x v="246"/>
    <x v="141"/>
    <x v="3"/>
    <x v="6"/>
    <x v="11"/>
    <x v="5"/>
    <x v="244"/>
    <x v="0"/>
    <x v="243"/>
    <x v="2"/>
    <x v="2"/>
    <x v="0"/>
  </r>
  <r>
    <x v="247"/>
    <x v="142"/>
    <x v="3"/>
    <x v="6"/>
    <x v="3"/>
    <x v="17"/>
    <x v="245"/>
    <x v="0"/>
    <x v="244"/>
    <x v="0"/>
    <x v="0"/>
    <x v="0"/>
  </r>
  <r>
    <x v="248"/>
    <x v="143"/>
    <x v="3"/>
    <x v="6"/>
    <x v="3"/>
    <x v="16"/>
    <x v="246"/>
    <x v="0"/>
    <x v="245"/>
    <x v="2"/>
    <x v="2"/>
    <x v="0"/>
  </r>
  <r>
    <x v="249"/>
    <x v="143"/>
    <x v="3"/>
    <x v="3"/>
    <x v="6"/>
    <x v="4"/>
    <x v="247"/>
    <x v="0"/>
    <x v="246"/>
    <x v="0"/>
    <x v="0"/>
    <x v="0"/>
  </r>
  <r>
    <x v="250"/>
    <x v="144"/>
    <x v="1"/>
    <x v="1"/>
    <x v="8"/>
    <x v="12"/>
    <x v="248"/>
    <x v="0"/>
    <x v="247"/>
    <x v="0"/>
    <x v="0"/>
    <x v="0"/>
  </r>
  <r>
    <x v="251"/>
    <x v="145"/>
    <x v="1"/>
    <x v="9"/>
    <x v="1"/>
    <x v="1"/>
    <x v="249"/>
    <x v="1"/>
    <x v="248"/>
    <x v="0"/>
    <x v="0"/>
    <x v="0"/>
  </r>
  <r>
    <x v="252"/>
    <x v="146"/>
    <x v="2"/>
    <x v="5"/>
    <x v="2"/>
    <x v="52"/>
    <x v="250"/>
    <x v="0"/>
    <x v="249"/>
    <x v="1"/>
    <x v="1"/>
    <x v="0"/>
  </r>
  <r>
    <x v="253"/>
    <x v="147"/>
    <x v="1"/>
    <x v="9"/>
    <x v="8"/>
    <x v="15"/>
    <x v="251"/>
    <x v="0"/>
    <x v="250"/>
    <x v="0"/>
    <x v="0"/>
    <x v="0"/>
  </r>
  <r>
    <x v="254"/>
    <x v="147"/>
    <x v="3"/>
    <x v="3"/>
    <x v="3"/>
    <x v="0"/>
    <x v="252"/>
    <x v="0"/>
    <x v="251"/>
    <x v="0"/>
    <x v="0"/>
    <x v="0"/>
  </r>
  <r>
    <x v="255"/>
    <x v="148"/>
    <x v="1"/>
    <x v="1"/>
    <x v="1"/>
    <x v="35"/>
    <x v="253"/>
    <x v="0"/>
    <x v="252"/>
    <x v="2"/>
    <x v="2"/>
    <x v="0"/>
  </r>
  <r>
    <x v="256"/>
    <x v="149"/>
    <x v="1"/>
    <x v="9"/>
    <x v="8"/>
    <x v="6"/>
    <x v="254"/>
    <x v="0"/>
    <x v="253"/>
    <x v="0"/>
    <x v="0"/>
    <x v="0"/>
  </r>
  <r>
    <x v="257"/>
    <x v="149"/>
    <x v="3"/>
    <x v="3"/>
    <x v="11"/>
    <x v="33"/>
    <x v="255"/>
    <x v="0"/>
    <x v="254"/>
    <x v="2"/>
    <x v="2"/>
    <x v="0"/>
  </r>
  <r>
    <x v="258"/>
    <x v="150"/>
    <x v="0"/>
    <x v="0"/>
    <x v="10"/>
    <x v="17"/>
    <x v="256"/>
    <x v="0"/>
    <x v="255"/>
    <x v="0"/>
    <x v="0"/>
    <x v="0"/>
  </r>
  <r>
    <x v="259"/>
    <x v="151"/>
    <x v="3"/>
    <x v="6"/>
    <x v="11"/>
    <x v="6"/>
    <x v="257"/>
    <x v="0"/>
    <x v="256"/>
    <x v="0"/>
    <x v="0"/>
    <x v="0"/>
  </r>
  <r>
    <x v="260"/>
    <x v="152"/>
    <x v="0"/>
    <x v="10"/>
    <x v="10"/>
    <x v="34"/>
    <x v="258"/>
    <x v="0"/>
    <x v="257"/>
    <x v="0"/>
    <x v="0"/>
    <x v="0"/>
  </r>
  <r>
    <x v="261"/>
    <x v="153"/>
    <x v="2"/>
    <x v="7"/>
    <x v="2"/>
    <x v="36"/>
    <x v="259"/>
    <x v="0"/>
    <x v="258"/>
    <x v="1"/>
    <x v="1"/>
    <x v="0"/>
  </r>
  <r>
    <x v="262"/>
    <x v="153"/>
    <x v="2"/>
    <x v="5"/>
    <x v="5"/>
    <x v="6"/>
    <x v="260"/>
    <x v="0"/>
    <x v="259"/>
    <x v="0"/>
    <x v="0"/>
    <x v="0"/>
  </r>
  <r>
    <x v="263"/>
    <x v="153"/>
    <x v="2"/>
    <x v="2"/>
    <x v="5"/>
    <x v="49"/>
    <x v="261"/>
    <x v="0"/>
    <x v="260"/>
    <x v="0"/>
    <x v="0"/>
    <x v="0"/>
  </r>
  <r>
    <x v="264"/>
    <x v="153"/>
    <x v="4"/>
    <x v="8"/>
    <x v="9"/>
    <x v="50"/>
    <x v="262"/>
    <x v="0"/>
    <x v="261"/>
    <x v="4"/>
    <x v="4"/>
    <x v="0"/>
  </r>
  <r>
    <x v="265"/>
    <x v="154"/>
    <x v="2"/>
    <x v="7"/>
    <x v="5"/>
    <x v="25"/>
    <x v="263"/>
    <x v="0"/>
    <x v="262"/>
    <x v="0"/>
    <x v="0"/>
    <x v="0"/>
  </r>
  <r>
    <x v="266"/>
    <x v="155"/>
    <x v="2"/>
    <x v="2"/>
    <x v="5"/>
    <x v="49"/>
    <x v="264"/>
    <x v="0"/>
    <x v="263"/>
    <x v="0"/>
    <x v="0"/>
    <x v="0"/>
  </r>
  <r>
    <x v="267"/>
    <x v="155"/>
    <x v="3"/>
    <x v="3"/>
    <x v="11"/>
    <x v="26"/>
    <x v="265"/>
    <x v="1"/>
    <x v="264"/>
    <x v="1"/>
    <x v="1"/>
    <x v="0"/>
  </r>
  <r>
    <x v="268"/>
    <x v="156"/>
    <x v="2"/>
    <x v="7"/>
    <x v="6"/>
    <x v="20"/>
    <x v="266"/>
    <x v="0"/>
    <x v="265"/>
    <x v="0"/>
    <x v="0"/>
    <x v="0"/>
  </r>
  <r>
    <x v="269"/>
    <x v="157"/>
    <x v="3"/>
    <x v="6"/>
    <x v="11"/>
    <x v="19"/>
    <x v="267"/>
    <x v="0"/>
    <x v="266"/>
    <x v="0"/>
    <x v="0"/>
    <x v="0"/>
  </r>
  <r>
    <x v="270"/>
    <x v="158"/>
    <x v="2"/>
    <x v="7"/>
    <x v="2"/>
    <x v="11"/>
    <x v="268"/>
    <x v="0"/>
    <x v="267"/>
    <x v="0"/>
    <x v="0"/>
    <x v="0"/>
  </r>
  <r>
    <x v="271"/>
    <x v="159"/>
    <x v="1"/>
    <x v="9"/>
    <x v="8"/>
    <x v="33"/>
    <x v="269"/>
    <x v="0"/>
    <x v="268"/>
    <x v="2"/>
    <x v="2"/>
    <x v="0"/>
  </r>
  <r>
    <x v="272"/>
    <x v="160"/>
    <x v="1"/>
    <x v="1"/>
    <x v="1"/>
    <x v="34"/>
    <x v="270"/>
    <x v="0"/>
    <x v="269"/>
    <x v="0"/>
    <x v="0"/>
    <x v="0"/>
  </r>
  <r>
    <x v="273"/>
    <x v="160"/>
    <x v="2"/>
    <x v="2"/>
    <x v="2"/>
    <x v="13"/>
    <x v="271"/>
    <x v="0"/>
    <x v="270"/>
    <x v="0"/>
    <x v="0"/>
    <x v="0"/>
  </r>
  <r>
    <x v="274"/>
    <x v="160"/>
    <x v="2"/>
    <x v="2"/>
    <x v="6"/>
    <x v="20"/>
    <x v="272"/>
    <x v="0"/>
    <x v="271"/>
    <x v="0"/>
    <x v="0"/>
    <x v="0"/>
  </r>
  <r>
    <x v="275"/>
    <x v="160"/>
    <x v="2"/>
    <x v="7"/>
    <x v="5"/>
    <x v="27"/>
    <x v="273"/>
    <x v="0"/>
    <x v="272"/>
    <x v="1"/>
    <x v="1"/>
    <x v="0"/>
  </r>
  <r>
    <x v="276"/>
    <x v="161"/>
    <x v="2"/>
    <x v="7"/>
    <x v="6"/>
    <x v="45"/>
    <x v="274"/>
    <x v="0"/>
    <x v="273"/>
    <x v="2"/>
    <x v="2"/>
    <x v="0"/>
  </r>
  <r>
    <x v="277"/>
    <x v="162"/>
    <x v="2"/>
    <x v="5"/>
    <x v="2"/>
    <x v="56"/>
    <x v="275"/>
    <x v="0"/>
    <x v="274"/>
    <x v="1"/>
    <x v="1"/>
    <x v="0"/>
  </r>
  <r>
    <x v="278"/>
    <x v="163"/>
    <x v="0"/>
    <x v="10"/>
    <x v="0"/>
    <x v="11"/>
    <x v="276"/>
    <x v="0"/>
    <x v="275"/>
    <x v="0"/>
    <x v="0"/>
    <x v="0"/>
  </r>
  <r>
    <x v="279"/>
    <x v="163"/>
    <x v="2"/>
    <x v="5"/>
    <x v="6"/>
    <x v="59"/>
    <x v="277"/>
    <x v="1"/>
    <x v="276"/>
    <x v="4"/>
    <x v="4"/>
    <x v="0"/>
  </r>
  <r>
    <x v="280"/>
    <x v="164"/>
    <x v="0"/>
    <x v="10"/>
    <x v="10"/>
    <x v="6"/>
    <x v="278"/>
    <x v="0"/>
    <x v="277"/>
    <x v="0"/>
    <x v="0"/>
    <x v="0"/>
  </r>
  <r>
    <x v="281"/>
    <x v="164"/>
    <x v="1"/>
    <x v="1"/>
    <x v="8"/>
    <x v="35"/>
    <x v="279"/>
    <x v="0"/>
    <x v="278"/>
    <x v="2"/>
    <x v="2"/>
    <x v="0"/>
  </r>
  <r>
    <x v="282"/>
    <x v="164"/>
    <x v="2"/>
    <x v="5"/>
    <x v="2"/>
    <x v="34"/>
    <x v="280"/>
    <x v="0"/>
    <x v="279"/>
    <x v="0"/>
    <x v="0"/>
    <x v="0"/>
  </r>
  <r>
    <x v="283"/>
    <x v="165"/>
    <x v="4"/>
    <x v="8"/>
    <x v="7"/>
    <x v="60"/>
    <x v="281"/>
    <x v="0"/>
    <x v="280"/>
    <x v="1"/>
    <x v="1"/>
    <x v="0"/>
  </r>
  <r>
    <x v="284"/>
    <x v="166"/>
    <x v="0"/>
    <x v="10"/>
    <x v="10"/>
    <x v="4"/>
    <x v="282"/>
    <x v="0"/>
    <x v="281"/>
    <x v="0"/>
    <x v="0"/>
    <x v="0"/>
  </r>
  <r>
    <x v="285"/>
    <x v="166"/>
    <x v="2"/>
    <x v="7"/>
    <x v="2"/>
    <x v="40"/>
    <x v="283"/>
    <x v="0"/>
    <x v="282"/>
    <x v="1"/>
    <x v="1"/>
    <x v="0"/>
  </r>
  <r>
    <x v="286"/>
    <x v="166"/>
    <x v="3"/>
    <x v="6"/>
    <x v="6"/>
    <x v="19"/>
    <x v="284"/>
    <x v="0"/>
    <x v="283"/>
    <x v="0"/>
    <x v="0"/>
    <x v="0"/>
  </r>
  <r>
    <x v="287"/>
    <x v="167"/>
    <x v="4"/>
    <x v="8"/>
    <x v="7"/>
    <x v="61"/>
    <x v="285"/>
    <x v="1"/>
    <x v="284"/>
    <x v="4"/>
    <x v="4"/>
    <x v="0"/>
  </r>
  <r>
    <x v="288"/>
    <x v="167"/>
    <x v="0"/>
    <x v="10"/>
    <x v="0"/>
    <x v="33"/>
    <x v="286"/>
    <x v="0"/>
    <x v="50"/>
    <x v="2"/>
    <x v="2"/>
    <x v="0"/>
  </r>
  <r>
    <x v="289"/>
    <x v="167"/>
    <x v="2"/>
    <x v="2"/>
    <x v="2"/>
    <x v="36"/>
    <x v="287"/>
    <x v="0"/>
    <x v="285"/>
    <x v="1"/>
    <x v="1"/>
    <x v="0"/>
  </r>
  <r>
    <x v="290"/>
    <x v="168"/>
    <x v="2"/>
    <x v="2"/>
    <x v="6"/>
    <x v="19"/>
    <x v="288"/>
    <x v="0"/>
    <x v="286"/>
    <x v="0"/>
    <x v="0"/>
    <x v="0"/>
  </r>
  <r>
    <x v="291"/>
    <x v="168"/>
    <x v="1"/>
    <x v="9"/>
    <x v="1"/>
    <x v="0"/>
    <x v="289"/>
    <x v="0"/>
    <x v="287"/>
    <x v="0"/>
    <x v="0"/>
    <x v="0"/>
  </r>
  <r>
    <x v="292"/>
    <x v="169"/>
    <x v="3"/>
    <x v="6"/>
    <x v="3"/>
    <x v="38"/>
    <x v="290"/>
    <x v="0"/>
    <x v="254"/>
    <x v="2"/>
    <x v="2"/>
    <x v="0"/>
  </r>
  <r>
    <x v="293"/>
    <x v="170"/>
    <x v="4"/>
    <x v="8"/>
    <x v="4"/>
    <x v="62"/>
    <x v="291"/>
    <x v="1"/>
    <x v="288"/>
    <x v="4"/>
    <x v="4"/>
    <x v="0"/>
  </r>
  <r>
    <x v="294"/>
    <x v="171"/>
    <x v="3"/>
    <x v="3"/>
    <x v="6"/>
    <x v="38"/>
    <x v="292"/>
    <x v="0"/>
    <x v="289"/>
    <x v="2"/>
    <x v="2"/>
    <x v="0"/>
  </r>
  <r>
    <x v="295"/>
    <x v="172"/>
    <x v="1"/>
    <x v="9"/>
    <x v="8"/>
    <x v="5"/>
    <x v="293"/>
    <x v="0"/>
    <x v="290"/>
    <x v="2"/>
    <x v="2"/>
    <x v="0"/>
  </r>
  <r>
    <x v="296"/>
    <x v="173"/>
    <x v="2"/>
    <x v="2"/>
    <x v="2"/>
    <x v="34"/>
    <x v="294"/>
    <x v="0"/>
    <x v="291"/>
    <x v="0"/>
    <x v="0"/>
    <x v="0"/>
  </r>
  <r>
    <x v="297"/>
    <x v="173"/>
    <x v="2"/>
    <x v="5"/>
    <x v="5"/>
    <x v="4"/>
    <x v="295"/>
    <x v="0"/>
    <x v="292"/>
    <x v="0"/>
    <x v="0"/>
    <x v="0"/>
  </r>
  <r>
    <x v="298"/>
    <x v="174"/>
    <x v="2"/>
    <x v="2"/>
    <x v="2"/>
    <x v="11"/>
    <x v="296"/>
    <x v="0"/>
    <x v="293"/>
    <x v="0"/>
    <x v="0"/>
    <x v="0"/>
  </r>
  <r>
    <x v="299"/>
    <x v="174"/>
    <x v="3"/>
    <x v="3"/>
    <x v="6"/>
    <x v="18"/>
    <x v="297"/>
    <x v="0"/>
    <x v="294"/>
    <x v="0"/>
    <x v="0"/>
    <x v="0"/>
  </r>
  <r>
    <x v="300"/>
    <x v="174"/>
    <x v="1"/>
    <x v="9"/>
    <x v="8"/>
    <x v="12"/>
    <x v="134"/>
    <x v="0"/>
    <x v="295"/>
    <x v="0"/>
    <x v="0"/>
    <x v="0"/>
  </r>
  <r>
    <x v="301"/>
    <x v="175"/>
    <x v="1"/>
    <x v="1"/>
    <x v="3"/>
    <x v="4"/>
    <x v="298"/>
    <x v="0"/>
    <x v="296"/>
    <x v="0"/>
    <x v="0"/>
    <x v="0"/>
  </r>
  <r>
    <x v="302"/>
    <x v="176"/>
    <x v="2"/>
    <x v="2"/>
    <x v="2"/>
    <x v="10"/>
    <x v="299"/>
    <x v="0"/>
    <x v="297"/>
    <x v="0"/>
    <x v="0"/>
    <x v="0"/>
  </r>
  <r>
    <x v="303"/>
    <x v="176"/>
    <x v="3"/>
    <x v="3"/>
    <x v="11"/>
    <x v="49"/>
    <x v="300"/>
    <x v="0"/>
    <x v="298"/>
    <x v="0"/>
    <x v="0"/>
    <x v="0"/>
  </r>
  <r>
    <x v="304"/>
    <x v="177"/>
    <x v="2"/>
    <x v="2"/>
    <x v="2"/>
    <x v="53"/>
    <x v="301"/>
    <x v="0"/>
    <x v="299"/>
    <x v="2"/>
    <x v="2"/>
    <x v="0"/>
  </r>
  <r>
    <x v="305"/>
    <x v="178"/>
    <x v="2"/>
    <x v="7"/>
    <x v="5"/>
    <x v="34"/>
    <x v="302"/>
    <x v="0"/>
    <x v="300"/>
    <x v="0"/>
    <x v="0"/>
    <x v="0"/>
  </r>
  <r>
    <x v="306"/>
    <x v="178"/>
    <x v="2"/>
    <x v="2"/>
    <x v="2"/>
    <x v="15"/>
    <x v="303"/>
    <x v="0"/>
    <x v="301"/>
    <x v="0"/>
    <x v="0"/>
    <x v="0"/>
  </r>
  <r>
    <x v="307"/>
    <x v="178"/>
    <x v="3"/>
    <x v="6"/>
    <x v="11"/>
    <x v="15"/>
    <x v="304"/>
    <x v="0"/>
    <x v="302"/>
    <x v="0"/>
    <x v="0"/>
    <x v="0"/>
  </r>
  <r>
    <x v="308"/>
    <x v="179"/>
    <x v="3"/>
    <x v="6"/>
    <x v="6"/>
    <x v="17"/>
    <x v="305"/>
    <x v="0"/>
    <x v="303"/>
    <x v="0"/>
    <x v="0"/>
    <x v="0"/>
  </r>
  <r>
    <x v="309"/>
    <x v="179"/>
    <x v="2"/>
    <x v="2"/>
    <x v="6"/>
    <x v="14"/>
    <x v="306"/>
    <x v="0"/>
    <x v="304"/>
    <x v="0"/>
    <x v="0"/>
    <x v="0"/>
  </r>
  <r>
    <x v="310"/>
    <x v="180"/>
    <x v="4"/>
    <x v="4"/>
    <x v="9"/>
    <x v="8"/>
    <x v="307"/>
    <x v="0"/>
    <x v="305"/>
    <x v="0"/>
    <x v="0"/>
    <x v="0"/>
  </r>
  <r>
    <x v="311"/>
    <x v="180"/>
    <x v="0"/>
    <x v="10"/>
    <x v="4"/>
    <x v="10"/>
    <x v="308"/>
    <x v="0"/>
    <x v="306"/>
    <x v="0"/>
    <x v="0"/>
    <x v="0"/>
  </r>
  <r>
    <x v="312"/>
    <x v="181"/>
    <x v="3"/>
    <x v="6"/>
    <x v="6"/>
    <x v="45"/>
    <x v="309"/>
    <x v="0"/>
    <x v="307"/>
    <x v="2"/>
    <x v="2"/>
    <x v="0"/>
  </r>
  <r>
    <x v="313"/>
    <x v="181"/>
    <x v="0"/>
    <x v="0"/>
    <x v="4"/>
    <x v="42"/>
    <x v="310"/>
    <x v="0"/>
    <x v="308"/>
    <x v="0"/>
    <x v="0"/>
    <x v="0"/>
  </r>
  <r>
    <x v="314"/>
    <x v="182"/>
    <x v="1"/>
    <x v="9"/>
    <x v="8"/>
    <x v="0"/>
    <x v="311"/>
    <x v="0"/>
    <x v="309"/>
    <x v="0"/>
    <x v="0"/>
    <x v="0"/>
  </r>
  <r>
    <x v="315"/>
    <x v="182"/>
    <x v="3"/>
    <x v="3"/>
    <x v="3"/>
    <x v="10"/>
    <x v="312"/>
    <x v="0"/>
    <x v="310"/>
    <x v="0"/>
    <x v="0"/>
    <x v="0"/>
  </r>
  <r>
    <x v="316"/>
    <x v="183"/>
    <x v="3"/>
    <x v="3"/>
    <x v="3"/>
    <x v="35"/>
    <x v="313"/>
    <x v="0"/>
    <x v="311"/>
    <x v="2"/>
    <x v="2"/>
    <x v="0"/>
  </r>
  <r>
    <x v="317"/>
    <x v="184"/>
    <x v="2"/>
    <x v="5"/>
    <x v="2"/>
    <x v="6"/>
    <x v="314"/>
    <x v="0"/>
    <x v="312"/>
    <x v="0"/>
    <x v="0"/>
    <x v="0"/>
  </r>
  <r>
    <x v="318"/>
    <x v="184"/>
    <x v="1"/>
    <x v="1"/>
    <x v="3"/>
    <x v="34"/>
    <x v="315"/>
    <x v="0"/>
    <x v="313"/>
    <x v="0"/>
    <x v="0"/>
    <x v="0"/>
  </r>
  <r>
    <x v="319"/>
    <x v="184"/>
    <x v="1"/>
    <x v="1"/>
    <x v="8"/>
    <x v="16"/>
    <x v="316"/>
    <x v="0"/>
    <x v="314"/>
    <x v="2"/>
    <x v="2"/>
    <x v="0"/>
  </r>
  <r>
    <x v="320"/>
    <x v="185"/>
    <x v="2"/>
    <x v="5"/>
    <x v="2"/>
    <x v="1"/>
    <x v="317"/>
    <x v="0"/>
    <x v="315"/>
    <x v="0"/>
    <x v="0"/>
    <x v="0"/>
  </r>
  <r>
    <x v="321"/>
    <x v="186"/>
    <x v="4"/>
    <x v="4"/>
    <x v="9"/>
    <x v="26"/>
    <x v="318"/>
    <x v="0"/>
    <x v="316"/>
    <x v="1"/>
    <x v="1"/>
    <x v="0"/>
  </r>
  <r>
    <x v="322"/>
    <x v="187"/>
    <x v="4"/>
    <x v="4"/>
    <x v="9"/>
    <x v="63"/>
    <x v="319"/>
    <x v="1"/>
    <x v="317"/>
    <x v="3"/>
    <x v="3"/>
    <x v="0"/>
  </r>
  <r>
    <x v="323"/>
    <x v="188"/>
    <x v="1"/>
    <x v="9"/>
    <x v="1"/>
    <x v="28"/>
    <x v="320"/>
    <x v="0"/>
    <x v="318"/>
    <x v="2"/>
    <x v="2"/>
    <x v="0"/>
  </r>
  <r>
    <x v="324"/>
    <x v="189"/>
    <x v="3"/>
    <x v="6"/>
    <x v="3"/>
    <x v="18"/>
    <x v="321"/>
    <x v="0"/>
    <x v="319"/>
    <x v="0"/>
    <x v="0"/>
    <x v="0"/>
  </r>
  <r>
    <x v="325"/>
    <x v="189"/>
    <x v="4"/>
    <x v="8"/>
    <x v="7"/>
    <x v="11"/>
    <x v="322"/>
    <x v="0"/>
    <x v="320"/>
    <x v="0"/>
    <x v="0"/>
    <x v="0"/>
  </r>
  <r>
    <x v="326"/>
    <x v="189"/>
    <x v="2"/>
    <x v="2"/>
    <x v="2"/>
    <x v="56"/>
    <x v="323"/>
    <x v="0"/>
    <x v="321"/>
    <x v="1"/>
    <x v="1"/>
    <x v="0"/>
  </r>
  <r>
    <x v="327"/>
    <x v="190"/>
    <x v="0"/>
    <x v="0"/>
    <x v="4"/>
    <x v="22"/>
    <x v="324"/>
    <x v="0"/>
    <x v="322"/>
    <x v="2"/>
    <x v="2"/>
    <x v="0"/>
  </r>
  <r>
    <x v="328"/>
    <x v="190"/>
    <x v="2"/>
    <x v="2"/>
    <x v="6"/>
    <x v="43"/>
    <x v="325"/>
    <x v="1"/>
    <x v="323"/>
    <x v="4"/>
    <x v="4"/>
    <x v="0"/>
  </r>
  <r>
    <x v="329"/>
    <x v="191"/>
    <x v="2"/>
    <x v="2"/>
    <x v="5"/>
    <x v="57"/>
    <x v="326"/>
    <x v="1"/>
    <x v="324"/>
    <x v="4"/>
    <x v="4"/>
    <x v="0"/>
  </r>
  <r>
    <x v="330"/>
    <x v="192"/>
    <x v="2"/>
    <x v="7"/>
    <x v="2"/>
    <x v="53"/>
    <x v="327"/>
    <x v="0"/>
    <x v="325"/>
    <x v="2"/>
    <x v="2"/>
    <x v="0"/>
  </r>
  <r>
    <x v="331"/>
    <x v="193"/>
    <x v="2"/>
    <x v="5"/>
    <x v="5"/>
    <x v="37"/>
    <x v="328"/>
    <x v="1"/>
    <x v="326"/>
    <x v="4"/>
    <x v="4"/>
    <x v="0"/>
  </r>
  <r>
    <x v="332"/>
    <x v="194"/>
    <x v="3"/>
    <x v="3"/>
    <x v="6"/>
    <x v="4"/>
    <x v="329"/>
    <x v="0"/>
    <x v="327"/>
    <x v="0"/>
    <x v="0"/>
    <x v="0"/>
  </r>
  <r>
    <x v="333"/>
    <x v="194"/>
    <x v="0"/>
    <x v="0"/>
    <x v="10"/>
    <x v="18"/>
    <x v="330"/>
    <x v="0"/>
    <x v="328"/>
    <x v="0"/>
    <x v="0"/>
    <x v="0"/>
  </r>
  <r>
    <x v="334"/>
    <x v="195"/>
    <x v="2"/>
    <x v="2"/>
    <x v="5"/>
    <x v="32"/>
    <x v="331"/>
    <x v="0"/>
    <x v="329"/>
    <x v="0"/>
    <x v="0"/>
    <x v="0"/>
  </r>
  <r>
    <x v="335"/>
    <x v="195"/>
    <x v="4"/>
    <x v="4"/>
    <x v="9"/>
    <x v="0"/>
    <x v="332"/>
    <x v="0"/>
    <x v="330"/>
    <x v="0"/>
    <x v="0"/>
    <x v="0"/>
  </r>
  <r>
    <x v="336"/>
    <x v="195"/>
    <x v="3"/>
    <x v="3"/>
    <x v="3"/>
    <x v="10"/>
    <x v="333"/>
    <x v="0"/>
    <x v="331"/>
    <x v="0"/>
    <x v="0"/>
    <x v="0"/>
  </r>
  <r>
    <x v="337"/>
    <x v="195"/>
    <x v="3"/>
    <x v="3"/>
    <x v="6"/>
    <x v="20"/>
    <x v="334"/>
    <x v="0"/>
    <x v="332"/>
    <x v="0"/>
    <x v="0"/>
    <x v="0"/>
  </r>
  <r>
    <x v="338"/>
    <x v="196"/>
    <x v="0"/>
    <x v="0"/>
    <x v="10"/>
    <x v="25"/>
    <x v="335"/>
    <x v="0"/>
    <x v="333"/>
    <x v="0"/>
    <x v="0"/>
    <x v="0"/>
  </r>
  <r>
    <x v="339"/>
    <x v="197"/>
    <x v="3"/>
    <x v="3"/>
    <x v="6"/>
    <x v="21"/>
    <x v="336"/>
    <x v="0"/>
    <x v="334"/>
    <x v="2"/>
    <x v="2"/>
    <x v="0"/>
  </r>
  <r>
    <x v="340"/>
    <x v="198"/>
    <x v="2"/>
    <x v="2"/>
    <x v="5"/>
    <x v="42"/>
    <x v="337"/>
    <x v="0"/>
    <x v="335"/>
    <x v="0"/>
    <x v="0"/>
    <x v="0"/>
  </r>
  <r>
    <x v="341"/>
    <x v="198"/>
    <x v="3"/>
    <x v="3"/>
    <x v="6"/>
    <x v="36"/>
    <x v="338"/>
    <x v="1"/>
    <x v="336"/>
    <x v="1"/>
    <x v="1"/>
    <x v="0"/>
  </r>
  <r>
    <x v="342"/>
    <x v="198"/>
    <x v="4"/>
    <x v="8"/>
    <x v="7"/>
    <x v="19"/>
    <x v="339"/>
    <x v="0"/>
    <x v="337"/>
    <x v="0"/>
    <x v="0"/>
    <x v="0"/>
  </r>
  <r>
    <x v="343"/>
    <x v="199"/>
    <x v="3"/>
    <x v="3"/>
    <x v="11"/>
    <x v="11"/>
    <x v="340"/>
    <x v="0"/>
    <x v="338"/>
    <x v="0"/>
    <x v="0"/>
    <x v="0"/>
  </r>
  <r>
    <x v="344"/>
    <x v="199"/>
    <x v="0"/>
    <x v="10"/>
    <x v="4"/>
    <x v="4"/>
    <x v="341"/>
    <x v="0"/>
    <x v="339"/>
    <x v="0"/>
    <x v="0"/>
    <x v="0"/>
  </r>
  <r>
    <x v="345"/>
    <x v="199"/>
    <x v="4"/>
    <x v="8"/>
    <x v="9"/>
    <x v="64"/>
    <x v="342"/>
    <x v="1"/>
    <x v="340"/>
    <x v="3"/>
    <x v="3"/>
    <x v="0"/>
  </r>
  <r>
    <x v="346"/>
    <x v="200"/>
    <x v="2"/>
    <x v="7"/>
    <x v="6"/>
    <x v="65"/>
    <x v="343"/>
    <x v="1"/>
    <x v="341"/>
    <x v="1"/>
    <x v="1"/>
    <x v="0"/>
  </r>
  <r>
    <x v="347"/>
    <x v="200"/>
    <x v="3"/>
    <x v="6"/>
    <x v="6"/>
    <x v="42"/>
    <x v="344"/>
    <x v="0"/>
    <x v="342"/>
    <x v="0"/>
    <x v="0"/>
    <x v="0"/>
  </r>
  <r>
    <x v="348"/>
    <x v="201"/>
    <x v="1"/>
    <x v="1"/>
    <x v="3"/>
    <x v="35"/>
    <x v="345"/>
    <x v="0"/>
    <x v="343"/>
    <x v="2"/>
    <x v="2"/>
    <x v="0"/>
  </r>
  <r>
    <x v="349"/>
    <x v="202"/>
    <x v="4"/>
    <x v="4"/>
    <x v="7"/>
    <x v="15"/>
    <x v="346"/>
    <x v="0"/>
    <x v="344"/>
    <x v="0"/>
    <x v="0"/>
    <x v="0"/>
  </r>
  <r>
    <x v="350"/>
    <x v="203"/>
    <x v="4"/>
    <x v="8"/>
    <x v="7"/>
    <x v="60"/>
    <x v="347"/>
    <x v="0"/>
    <x v="345"/>
    <x v="1"/>
    <x v="1"/>
    <x v="0"/>
  </r>
  <r>
    <x v="351"/>
    <x v="203"/>
    <x v="0"/>
    <x v="10"/>
    <x v="10"/>
    <x v="8"/>
    <x v="18"/>
    <x v="0"/>
    <x v="346"/>
    <x v="0"/>
    <x v="0"/>
    <x v="0"/>
  </r>
  <r>
    <x v="352"/>
    <x v="203"/>
    <x v="3"/>
    <x v="6"/>
    <x v="3"/>
    <x v="10"/>
    <x v="348"/>
    <x v="0"/>
    <x v="347"/>
    <x v="0"/>
    <x v="0"/>
    <x v="0"/>
  </r>
  <r>
    <x v="353"/>
    <x v="203"/>
    <x v="1"/>
    <x v="1"/>
    <x v="8"/>
    <x v="44"/>
    <x v="349"/>
    <x v="0"/>
    <x v="348"/>
    <x v="2"/>
    <x v="2"/>
    <x v="0"/>
  </r>
  <r>
    <x v="354"/>
    <x v="204"/>
    <x v="4"/>
    <x v="4"/>
    <x v="7"/>
    <x v="20"/>
    <x v="350"/>
    <x v="0"/>
    <x v="349"/>
    <x v="0"/>
    <x v="0"/>
    <x v="0"/>
  </r>
  <r>
    <x v="355"/>
    <x v="204"/>
    <x v="0"/>
    <x v="0"/>
    <x v="10"/>
    <x v="20"/>
    <x v="351"/>
    <x v="0"/>
    <x v="350"/>
    <x v="0"/>
    <x v="0"/>
    <x v="0"/>
  </r>
  <r>
    <x v="356"/>
    <x v="204"/>
    <x v="1"/>
    <x v="1"/>
    <x v="1"/>
    <x v="11"/>
    <x v="352"/>
    <x v="0"/>
    <x v="351"/>
    <x v="0"/>
    <x v="0"/>
    <x v="0"/>
  </r>
  <r>
    <x v="357"/>
    <x v="205"/>
    <x v="1"/>
    <x v="9"/>
    <x v="8"/>
    <x v="11"/>
    <x v="353"/>
    <x v="0"/>
    <x v="352"/>
    <x v="0"/>
    <x v="0"/>
    <x v="0"/>
  </r>
  <r>
    <x v="358"/>
    <x v="206"/>
    <x v="2"/>
    <x v="7"/>
    <x v="5"/>
    <x v="49"/>
    <x v="354"/>
    <x v="0"/>
    <x v="353"/>
    <x v="0"/>
    <x v="0"/>
    <x v="0"/>
  </r>
  <r>
    <x v="359"/>
    <x v="206"/>
    <x v="1"/>
    <x v="1"/>
    <x v="8"/>
    <x v="12"/>
    <x v="355"/>
    <x v="0"/>
    <x v="354"/>
    <x v="0"/>
    <x v="0"/>
    <x v="0"/>
  </r>
  <r>
    <x v="360"/>
    <x v="206"/>
    <x v="4"/>
    <x v="8"/>
    <x v="9"/>
    <x v="66"/>
    <x v="356"/>
    <x v="1"/>
    <x v="355"/>
    <x v="4"/>
    <x v="4"/>
    <x v="0"/>
  </r>
  <r>
    <x v="361"/>
    <x v="207"/>
    <x v="2"/>
    <x v="5"/>
    <x v="2"/>
    <x v="29"/>
    <x v="357"/>
    <x v="1"/>
    <x v="66"/>
    <x v="1"/>
    <x v="1"/>
    <x v="0"/>
  </r>
  <r>
    <x v="362"/>
    <x v="207"/>
    <x v="2"/>
    <x v="7"/>
    <x v="5"/>
    <x v="4"/>
    <x v="358"/>
    <x v="0"/>
    <x v="356"/>
    <x v="0"/>
    <x v="0"/>
    <x v="0"/>
  </r>
  <r>
    <x v="363"/>
    <x v="208"/>
    <x v="4"/>
    <x v="4"/>
    <x v="7"/>
    <x v="7"/>
    <x v="359"/>
    <x v="0"/>
    <x v="357"/>
    <x v="1"/>
    <x v="1"/>
    <x v="0"/>
  </r>
  <r>
    <x v="364"/>
    <x v="208"/>
    <x v="2"/>
    <x v="2"/>
    <x v="5"/>
    <x v="51"/>
    <x v="360"/>
    <x v="0"/>
    <x v="358"/>
    <x v="1"/>
    <x v="1"/>
    <x v="0"/>
  </r>
  <r>
    <x v="365"/>
    <x v="209"/>
    <x v="2"/>
    <x v="5"/>
    <x v="2"/>
    <x v="37"/>
    <x v="361"/>
    <x v="1"/>
    <x v="359"/>
    <x v="4"/>
    <x v="4"/>
    <x v="0"/>
  </r>
  <r>
    <x v="366"/>
    <x v="210"/>
    <x v="2"/>
    <x v="5"/>
    <x v="6"/>
    <x v="9"/>
    <x v="362"/>
    <x v="1"/>
    <x v="360"/>
    <x v="1"/>
    <x v="1"/>
    <x v="0"/>
  </r>
  <r>
    <x v="367"/>
    <x v="210"/>
    <x v="3"/>
    <x v="3"/>
    <x v="6"/>
    <x v="0"/>
    <x v="363"/>
    <x v="0"/>
    <x v="361"/>
    <x v="0"/>
    <x v="0"/>
    <x v="0"/>
  </r>
  <r>
    <x v="368"/>
    <x v="211"/>
    <x v="1"/>
    <x v="1"/>
    <x v="8"/>
    <x v="20"/>
    <x v="364"/>
    <x v="1"/>
    <x v="362"/>
    <x v="0"/>
    <x v="0"/>
    <x v="0"/>
  </r>
  <r>
    <x v="369"/>
    <x v="212"/>
    <x v="2"/>
    <x v="5"/>
    <x v="6"/>
    <x v="33"/>
    <x v="365"/>
    <x v="0"/>
    <x v="363"/>
    <x v="2"/>
    <x v="2"/>
    <x v="0"/>
  </r>
  <r>
    <x v="370"/>
    <x v="213"/>
    <x v="3"/>
    <x v="3"/>
    <x v="6"/>
    <x v="18"/>
    <x v="366"/>
    <x v="0"/>
    <x v="364"/>
    <x v="0"/>
    <x v="0"/>
    <x v="0"/>
  </r>
  <r>
    <x v="371"/>
    <x v="214"/>
    <x v="4"/>
    <x v="8"/>
    <x v="4"/>
    <x v="49"/>
    <x v="367"/>
    <x v="0"/>
    <x v="365"/>
    <x v="0"/>
    <x v="0"/>
    <x v="0"/>
  </r>
  <r>
    <x v="372"/>
    <x v="215"/>
    <x v="2"/>
    <x v="7"/>
    <x v="6"/>
    <x v="20"/>
    <x v="368"/>
    <x v="0"/>
    <x v="366"/>
    <x v="0"/>
    <x v="0"/>
    <x v="0"/>
  </r>
  <r>
    <x v="373"/>
    <x v="215"/>
    <x v="1"/>
    <x v="1"/>
    <x v="3"/>
    <x v="22"/>
    <x v="369"/>
    <x v="0"/>
    <x v="367"/>
    <x v="2"/>
    <x v="2"/>
    <x v="0"/>
  </r>
  <r>
    <x v="374"/>
    <x v="216"/>
    <x v="4"/>
    <x v="4"/>
    <x v="7"/>
    <x v="19"/>
    <x v="370"/>
    <x v="0"/>
    <x v="368"/>
    <x v="0"/>
    <x v="0"/>
    <x v="0"/>
  </r>
  <r>
    <x v="375"/>
    <x v="216"/>
    <x v="0"/>
    <x v="10"/>
    <x v="4"/>
    <x v="65"/>
    <x v="371"/>
    <x v="1"/>
    <x v="369"/>
    <x v="1"/>
    <x v="1"/>
    <x v="0"/>
  </r>
  <r>
    <x v="376"/>
    <x v="217"/>
    <x v="0"/>
    <x v="0"/>
    <x v="10"/>
    <x v="67"/>
    <x v="372"/>
    <x v="1"/>
    <x v="370"/>
    <x v="1"/>
    <x v="1"/>
    <x v="0"/>
  </r>
  <r>
    <x v="377"/>
    <x v="217"/>
    <x v="1"/>
    <x v="9"/>
    <x v="8"/>
    <x v="13"/>
    <x v="373"/>
    <x v="1"/>
    <x v="371"/>
    <x v="0"/>
    <x v="0"/>
    <x v="0"/>
  </r>
  <r>
    <x v="378"/>
    <x v="218"/>
    <x v="3"/>
    <x v="6"/>
    <x v="6"/>
    <x v="0"/>
    <x v="374"/>
    <x v="0"/>
    <x v="372"/>
    <x v="0"/>
    <x v="0"/>
    <x v="0"/>
  </r>
  <r>
    <x v="379"/>
    <x v="219"/>
    <x v="1"/>
    <x v="9"/>
    <x v="8"/>
    <x v="21"/>
    <x v="375"/>
    <x v="0"/>
    <x v="373"/>
    <x v="2"/>
    <x v="2"/>
    <x v="0"/>
  </r>
  <r>
    <x v="380"/>
    <x v="220"/>
    <x v="4"/>
    <x v="8"/>
    <x v="9"/>
    <x v="13"/>
    <x v="376"/>
    <x v="0"/>
    <x v="374"/>
    <x v="0"/>
    <x v="0"/>
    <x v="0"/>
  </r>
  <r>
    <x v="381"/>
    <x v="221"/>
    <x v="2"/>
    <x v="5"/>
    <x v="6"/>
    <x v="51"/>
    <x v="377"/>
    <x v="0"/>
    <x v="375"/>
    <x v="1"/>
    <x v="1"/>
    <x v="0"/>
  </r>
  <r>
    <x v="382"/>
    <x v="221"/>
    <x v="2"/>
    <x v="7"/>
    <x v="2"/>
    <x v="55"/>
    <x v="378"/>
    <x v="1"/>
    <x v="376"/>
    <x v="4"/>
    <x v="4"/>
    <x v="0"/>
  </r>
  <r>
    <x v="383"/>
    <x v="221"/>
    <x v="2"/>
    <x v="7"/>
    <x v="5"/>
    <x v="53"/>
    <x v="379"/>
    <x v="0"/>
    <x v="377"/>
    <x v="2"/>
    <x v="2"/>
    <x v="0"/>
  </r>
  <r>
    <x v="384"/>
    <x v="221"/>
    <x v="0"/>
    <x v="0"/>
    <x v="0"/>
    <x v="22"/>
    <x v="380"/>
    <x v="0"/>
    <x v="378"/>
    <x v="2"/>
    <x v="2"/>
    <x v="0"/>
  </r>
  <r>
    <x v="385"/>
    <x v="222"/>
    <x v="1"/>
    <x v="1"/>
    <x v="3"/>
    <x v="11"/>
    <x v="381"/>
    <x v="0"/>
    <x v="379"/>
    <x v="0"/>
    <x v="0"/>
    <x v="0"/>
  </r>
  <r>
    <x v="386"/>
    <x v="222"/>
    <x v="3"/>
    <x v="6"/>
    <x v="6"/>
    <x v="18"/>
    <x v="247"/>
    <x v="0"/>
    <x v="380"/>
    <x v="0"/>
    <x v="0"/>
    <x v="0"/>
  </r>
  <r>
    <x v="387"/>
    <x v="222"/>
    <x v="1"/>
    <x v="1"/>
    <x v="8"/>
    <x v="32"/>
    <x v="382"/>
    <x v="1"/>
    <x v="381"/>
    <x v="0"/>
    <x v="0"/>
    <x v="0"/>
  </r>
  <r>
    <x v="388"/>
    <x v="222"/>
    <x v="2"/>
    <x v="2"/>
    <x v="2"/>
    <x v="4"/>
    <x v="383"/>
    <x v="0"/>
    <x v="382"/>
    <x v="0"/>
    <x v="0"/>
    <x v="0"/>
  </r>
  <r>
    <x v="389"/>
    <x v="223"/>
    <x v="2"/>
    <x v="7"/>
    <x v="2"/>
    <x v="4"/>
    <x v="384"/>
    <x v="0"/>
    <x v="383"/>
    <x v="0"/>
    <x v="0"/>
    <x v="0"/>
  </r>
  <r>
    <x v="390"/>
    <x v="223"/>
    <x v="4"/>
    <x v="4"/>
    <x v="9"/>
    <x v="48"/>
    <x v="385"/>
    <x v="0"/>
    <x v="384"/>
    <x v="1"/>
    <x v="1"/>
    <x v="0"/>
  </r>
  <r>
    <x v="391"/>
    <x v="224"/>
    <x v="4"/>
    <x v="4"/>
    <x v="9"/>
    <x v="34"/>
    <x v="386"/>
    <x v="0"/>
    <x v="385"/>
    <x v="0"/>
    <x v="0"/>
    <x v="0"/>
  </r>
  <r>
    <x v="392"/>
    <x v="224"/>
    <x v="1"/>
    <x v="9"/>
    <x v="8"/>
    <x v="53"/>
    <x v="387"/>
    <x v="0"/>
    <x v="386"/>
    <x v="2"/>
    <x v="2"/>
    <x v="0"/>
  </r>
  <r>
    <x v="393"/>
    <x v="224"/>
    <x v="4"/>
    <x v="4"/>
    <x v="9"/>
    <x v="13"/>
    <x v="388"/>
    <x v="0"/>
    <x v="387"/>
    <x v="0"/>
    <x v="0"/>
    <x v="0"/>
  </r>
  <r>
    <x v="394"/>
    <x v="225"/>
    <x v="1"/>
    <x v="1"/>
    <x v="3"/>
    <x v="22"/>
    <x v="389"/>
    <x v="0"/>
    <x v="388"/>
    <x v="2"/>
    <x v="2"/>
    <x v="0"/>
  </r>
  <r>
    <x v="395"/>
    <x v="225"/>
    <x v="2"/>
    <x v="2"/>
    <x v="2"/>
    <x v="9"/>
    <x v="390"/>
    <x v="1"/>
    <x v="389"/>
    <x v="1"/>
    <x v="1"/>
    <x v="0"/>
  </r>
  <r>
    <x v="396"/>
    <x v="226"/>
    <x v="4"/>
    <x v="4"/>
    <x v="4"/>
    <x v="13"/>
    <x v="391"/>
    <x v="0"/>
    <x v="390"/>
    <x v="0"/>
    <x v="0"/>
    <x v="0"/>
  </r>
  <r>
    <x v="397"/>
    <x v="227"/>
    <x v="3"/>
    <x v="3"/>
    <x v="3"/>
    <x v="48"/>
    <x v="392"/>
    <x v="1"/>
    <x v="391"/>
    <x v="1"/>
    <x v="1"/>
    <x v="0"/>
  </r>
  <r>
    <x v="398"/>
    <x v="228"/>
    <x v="3"/>
    <x v="6"/>
    <x v="3"/>
    <x v="11"/>
    <x v="207"/>
    <x v="0"/>
    <x v="206"/>
    <x v="0"/>
    <x v="0"/>
    <x v="0"/>
  </r>
  <r>
    <x v="399"/>
    <x v="229"/>
    <x v="5"/>
    <x v="11"/>
    <x v="12"/>
    <x v="68"/>
    <x v="393"/>
    <x v="2"/>
    <x v="392"/>
    <x v="5"/>
    <x v="5"/>
    <x v="1"/>
  </r>
  <r>
    <x v="400"/>
    <x v="229"/>
    <x v="5"/>
    <x v="11"/>
    <x v="12"/>
    <x v="68"/>
    <x v="393"/>
    <x v="2"/>
    <x v="392"/>
    <x v="5"/>
    <x v="5"/>
    <x v="1"/>
  </r>
  <r>
    <x v="401"/>
    <x v="229"/>
    <x v="5"/>
    <x v="11"/>
    <x v="12"/>
    <x v="68"/>
    <x v="393"/>
    <x v="2"/>
    <x v="392"/>
    <x v="5"/>
    <x v="5"/>
    <x v="1"/>
  </r>
  <r>
    <x v="402"/>
    <x v="229"/>
    <x v="5"/>
    <x v="11"/>
    <x v="12"/>
    <x v="68"/>
    <x v="393"/>
    <x v="2"/>
    <x v="392"/>
    <x v="5"/>
    <x v="5"/>
    <x v="1"/>
  </r>
  <r>
    <x v="403"/>
    <x v="229"/>
    <x v="5"/>
    <x v="11"/>
    <x v="12"/>
    <x v="68"/>
    <x v="393"/>
    <x v="2"/>
    <x v="392"/>
    <x v="5"/>
    <x v="5"/>
    <x v="1"/>
  </r>
</pivotCacheRecords>
</file>

<file path=xl/pivotCache/pivotCacheRecords6.xml><?xml version="1.0" encoding="utf-8"?>
<pivotCacheRecords xmlns:r="http://schemas.openxmlformats.org/officeDocument/2006/relationships" xmlns="http://schemas.openxmlformats.org/spreadsheetml/2006/main" count="404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0"/>
    <x v="0"/>
  </r>
  <r>
    <x v="2"/>
    <x v="1"/>
    <x v="2"/>
    <x v="2"/>
    <x v="2"/>
    <x v="2"/>
    <x v="2"/>
    <x v="0"/>
    <x v="2"/>
    <x v="1"/>
    <x v="1"/>
    <x v="0"/>
  </r>
  <r>
    <x v="3"/>
    <x v="1"/>
    <x v="3"/>
    <x v="3"/>
    <x v="3"/>
    <x v="3"/>
    <x v="3"/>
    <x v="1"/>
    <x v="3"/>
    <x v="1"/>
    <x v="1"/>
    <x v="0"/>
  </r>
  <r>
    <x v="4"/>
    <x v="2"/>
    <x v="4"/>
    <x v="4"/>
    <x v="4"/>
    <x v="4"/>
    <x v="4"/>
    <x v="0"/>
    <x v="4"/>
    <x v="0"/>
    <x v="0"/>
    <x v="0"/>
  </r>
  <r>
    <x v="5"/>
    <x v="3"/>
    <x v="2"/>
    <x v="5"/>
    <x v="5"/>
    <x v="5"/>
    <x v="5"/>
    <x v="0"/>
    <x v="5"/>
    <x v="2"/>
    <x v="2"/>
    <x v="0"/>
  </r>
  <r>
    <x v="6"/>
    <x v="4"/>
    <x v="2"/>
    <x v="5"/>
    <x v="2"/>
    <x v="4"/>
    <x v="6"/>
    <x v="0"/>
    <x v="6"/>
    <x v="0"/>
    <x v="0"/>
    <x v="0"/>
  </r>
  <r>
    <x v="7"/>
    <x v="5"/>
    <x v="3"/>
    <x v="6"/>
    <x v="6"/>
    <x v="6"/>
    <x v="7"/>
    <x v="0"/>
    <x v="7"/>
    <x v="0"/>
    <x v="0"/>
    <x v="0"/>
  </r>
  <r>
    <x v="8"/>
    <x v="5"/>
    <x v="2"/>
    <x v="7"/>
    <x v="2"/>
    <x v="0"/>
    <x v="8"/>
    <x v="0"/>
    <x v="8"/>
    <x v="0"/>
    <x v="0"/>
    <x v="0"/>
  </r>
  <r>
    <x v="9"/>
    <x v="6"/>
    <x v="4"/>
    <x v="8"/>
    <x v="7"/>
    <x v="7"/>
    <x v="9"/>
    <x v="0"/>
    <x v="9"/>
    <x v="1"/>
    <x v="1"/>
    <x v="0"/>
  </r>
  <r>
    <x v="10"/>
    <x v="6"/>
    <x v="4"/>
    <x v="8"/>
    <x v="7"/>
    <x v="2"/>
    <x v="10"/>
    <x v="0"/>
    <x v="10"/>
    <x v="1"/>
    <x v="1"/>
    <x v="0"/>
  </r>
  <r>
    <x v="11"/>
    <x v="7"/>
    <x v="1"/>
    <x v="9"/>
    <x v="8"/>
    <x v="8"/>
    <x v="11"/>
    <x v="0"/>
    <x v="11"/>
    <x v="0"/>
    <x v="0"/>
    <x v="0"/>
  </r>
  <r>
    <x v="12"/>
    <x v="8"/>
    <x v="2"/>
    <x v="7"/>
    <x v="2"/>
    <x v="9"/>
    <x v="12"/>
    <x v="1"/>
    <x v="12"/>
    <x v="1"/>
    <x v="1"/>
    <x v="0"/>
  </r>
  <r>
    <x v="13"/>
    <x v="8"/>
    <x v="1"/>
    <x v="9"/>
    <x v="1"/>
    <x v="10"/>
    <x v="13"/>
    <x v="0"/>
    <x v="13"/>
    <x v="0"/>
    <x v="0"/>
    <x v="0"/>
  </r>
  <r>
    <x v="14"/>
    <x v="9"/>
    <x v="1"/>
    <x v="9"/>
    <x v="8"/>
    <x v="11"/>
    <x v="14"/>
    <x v="0"/>
    <x v="14"/>
    <x v="0"/>
    <x v="0"/>
    <x v="0"/>
  </r>
  <r>
    <x v="15"/>
    <x v="9"/>
    <x v="1"/>
    <x v="1"/>
    <x v="8"/>
    <x v="12"/>
    <x v="15"/>
    <x v="0"/>
    <x v="15"/>
    <x v="0"/>
    <x v="0"/>
    <x v="0"/>
  </r>
  <r>
    <x v="16"/>
    <x v="10"/>
    <x v="2"/>
    <x v="7"/>
    <x v="6"/>
    <x v="13"/>
    <x v="16"/>
    <x v="0"/>
    <x v="16"/>
    <x v="0"/>
    <x v="0"/>
    <x v="0"/>
  </r>
  <r>
    <x v="17"/>
    <x v="10"/>
    <x v="4"/>
    <x v="8"/>
    <x v="9"/>
    <x v="14"/>
    <x v="17"/>
    <x v="0"/>
    <x v="17"/>
    <x v="0"/>
    <x v="0"/>
    <x v="0"/>
  </r>
  <r>
    <x v="18"/>
    <x v="10"/>
    <x v="3"/>
    <x v="6"/>
    <x v="6"/>
    <x v="15"/>
    <x v="18"/>
    <x v="0"/>
    <x v="18"/>
    <x v="0"/>
    <x v="0"/>
    <x v="0"/>
  </r>
  <r>
    <x v="19"/>
    <x v="11"/>
    <x v="2"/>
    <x v="5"/>
    <x v="5"/>
    <x v="6"/>
    <x v="19"/>
    <x v="0"/>
    <x v="19"/>
    <x v="0"/>
    <x v="0"/>
    <x v="0"/>
  </r>
  <r>
    <x v="20"/>
    <x v="12"/>
    <x v="0"/>
    <x v="10"/>
    <x v="4"/>
    <x v="13"/>
    <x v="20"/>
    <x v="0"/>
    <x v="20"/>
    <x v="0"/>
    <x v="0"/>
    <x v="0"/>
  </r>
  <r>
    <x v="21"/>
    <x v="12"/>
    <x v="0"/>
    <x v="10"/>
    <x v="10"/>
    <x v="2"/>
    <x v="21"/>
    <x v="0"/>
    <x v="21"/>
    <x v="1"/>
    <x v="1"/>
    <x v="0"/>
  </r>
  <r>
    <x v="22"/>
    <x v="13"/>
    <x v="1"/>
    <x v="1"/>
    <x v="3"/>
    <x v="16"/>
    <x v="22"/>
    <x v="0"/>
    <x v="22"/>
    <x v="2"/>
    <x v="2"/>
    <x v="0"/>
  </r>
  <r>
    <x v="23"/>
    <x v="13"/>
    <x v="2"/>
    <x v="7"/>
    <x v="2"/>
    <x v="3"/>
    <x v="23"/>
    <x v="0"/>
    <x v="23"/>
    <x v="1"/>
    <x v="1"/>
    <x v="0"/>
  </r>
  <r>
    <x v="24"/>
    <x v="13"/>
    <x v="1"/>
    <x v="1"/>
    <x v="1"/>
    <x v="17"/>
    <x v="24"/>
    <x v="0"/>
    <x v="24"/>
    <x v="0"/>
    <x v="0"/>
    <x v="0"/>
  </r>
  <r>
    <x v="25"/>
    <x v="13"/>
    <x v="3"/>
    <x v="6"/>
    <x v="11"/>
    <x v="18"/>
    <x v="25"/>
    <x v="0"/>
    <x v="25"/>
    <x v="0"/>
    <x v="0"/>
    <x v="0"/>
  </r>
  <r>
    <x v="26"/>
    <x v="14"/>
    <x v="0"/>
    <x v="10"/>
    <x v="4"/>
    <x v="18"/>
    <x v="26"/>
    <x v="0"/>
    <x v="26"/>
    <x v="0"/>
    <x v="0"/>
    <x v="0"/>
  </r>
  <r>
    <x v="27"/>
    <x v="14"/>
    <x v="3"/>
    <x v="6"/>
    <x v="6"/>
    <x v="19"/>
    <x v="27"/>
    <x v="0"/>
    <x v="27"/>
    <x v="0"/>
    <x v="0"/>
    <x v="0"/>
  </r>
  <r>
    <x v="28"/>
    <x v="15"/>
    <x v="2"/>
    <x v="5"/>
    <x v="5"/>
    <x v="20"/>
    <x v="28"/>
    <x v="0"/>
    <x v="28"/>
    <x v="0"/>
    <x v="0"/>
    <x v="0"/>
  </r>
  <r>
    <x v="29"/>
    <x v="15"/>
    <x v="2"/>
    <x v="7"/>
    <x v="5"/>
    <x v="21"/>
    <x v="29"/>
    <x v="0"/>
    <x v="29"/>
    <x v="2"/>
    <x v="2"/>
    <x v="0"/>
  </r>
  <r>
    <x v="30"/>
    <x v="15"/>
    <x v="1"/>
    <x v="9"/>
    <x v="1"/>
    <x v="10"/>
    <x v="30"/>
    <x v="0"/>
    <x v="30"/>
    <x v="0"/>
    <x v="0"/>
    <x v="0"/>
  </r>
  <r>
    <x v="31"/>
    <x v="16"/>
    <x v="1"/>
    <x v="9"/>
    <x v="1"/>
    <x v="0"/>
    <x v="31"/>
    <x v="0"/>
    <x v="31"/>
    <x v="0"/>
    <x v="0"/>
    <x v="0"/>
  </r>
  <r>
    <x v="32"/>
    <x v="16"/>
    <x v="3"/>
    <x v="6"/>
    <x v="6"/>
    <x v="5"/>
    <x v="32"/>
    <x v="0"/>
    <x v="32"/>
    <x v="2"/>
    <x v="2"/>
    <x v="0"/>
  </r>
  <r>
    <x v="33"/>
    <x v="17"/>
    <x v="1"/>
    <x v="1"/>
    <x v="1"/>
    <x v="22"/>
    <x v="33"/>
    <x v="0"/>
    <x v="33"/>
    <x v="2"/>
    <x v="2"/>
    <x v="0"/>
  </r>
  <r>
    <x v="34"/>
    <x v="18"/>
    <x v="2"/>
    <x v="2"/>
    <x v="6"/>
    <x v="18"/>
    <x v="34"/>
    <x v="0"/>
    <x v="34"/>
    <x v="0"/>
    <x v="0"/>
    <x v="0"/>
  </r>
  <r>
    <x v="35"/>
    <x v="19"/>
    <x v="0"/>
    <x v="10"/>
    <x v="4"/>
    <x v="19"/>
    <x v="35"/>
    <x v="0"/>
    <x v="35"/>
    <x v="0"/>
    <x v="0"/>
    <x v="0"/>
  </r>
  <r>
    <x v="36"/>
    <x v="20"/>
    <x v="4"/>
    <x v="4"/>
    <x v="7"/>
    <x v="1"/>
    <x v="36"/>
    <x v="0"/>
    <x v="36"/>
    <x v="0"/>
    <x v="0"/>
    <x v="0"/>
  </r>
  <r>
    <x v="37"/>
    <x v="20"/>
    <x v="1"/>
    <x v="1"/>
    <x v="8"/>
    <x v="23"/>
    <x v="37"/>
    <x v="0"/>
    <x v="37"/>
    <x v="2"/>
    <x v="2"/>
    <x v="0"/>
  </r>
  <r>
    <x v="38"/>
    <x v="20"/>
    <x v="3"/>
    <x v="3"/>
    <x v="3"/>
    <x v="14"/>
    <x v="38"/>
    <x v="0"/>
    <x v="38"/>
    <x v="0"/>
    <x v="0"/>
    <x v="0"/>
  </r>
  <r>
    <x v="39"/>
    <x v="20"/>
    <x v="4"/>
    <x v="8"/>
    <x v="4"/>
    <x v="24"/>
    <x v="39"/>
    <x v="0"/>
    <x v="39"/>
    <x v="1"/>
    <x v="1"/>
    <x v="0"/>
  </r>
  <r>
    <x v="40"/>
    <x v="20"/>
    <x v="2"/>
    <x v="2"/>
    <x v="6"/>
    <x v="15"/>
    <x v="40"/>
    <x v="0"/>
    <x v="40"/>
    <x v="0"/>
    <x v="0"/>
    <x v="0"/>
  </r>
  <r>
    <x v="41"/>
    <x v="21"/>
    <x v="1"/>
    <x v="1"/>
    <x v="8"/>
    <x v="23"/>
    <x v="41"/>
    <x v="0"/>
    <x v="41"/>
    <x v="2"/>
    <x v="2"/>
    <x v="0"/>
  </r>
  <r>
    <x v="42"/>
    <x v="22"/>
    <x v="0"/>
    <x v="10"/>
    <x v="10"/>
    <x v="25"/>
    <x v="42"/>
    <x v="0"/>
    <x v="42"/>
    <x v="0"/>
    <x v="0"/>
    <x v="0"/>
  </r>
  <r>
    <x v="43"/>
    <x v="22"/>
    <x v="2"/>
    <x v="2"/>
    <x v="6"/>
    <x v="15"/>
    <x v="43"/>
    <x v="0"/>
    <x v="43"/>
    <x v="0"/>
    <x v="0"/>
    <x v="0"/>
  </r>
  <r>
    <x v="44"/>
    <x v="22"/>
    <x v="2"/>
    <x v="7"/>
    <x v="5"/>
    <x v="11"/>
    <x v="44"/>
    <x v="0"/>
    <x v="44"/>
    <x v="0"/>
    <x v="0"/>
    <x v="0"/>
  </r>
  <r>
    <x v="45"/>
    <x v="22"/>
    <x v="2"/>
    <x v="7"/>
    <x v="6"/>
    <x v="2"/>
    <x v="45"/>
    <x v="0"/>
    <x v="45"/>
    <x v="1"/>
    <x v="1"/>
    <x v="0"/>
  </r>
  <r>
    <x v="46"/>
    <x v="23"/>
    <x v="2"/>
    <x v="7"/>
    <x v="2"/>
    <x v="26"/>
    <x v="46"/>
    <x v="0"/>
    <x v="46"/>
    <x v="1"/>
    <x v="1"/>
    <x v="0"/>
  </r>
  <r>
    <x v="47"/>
    <x v="23"/>
    <x v="0"/>
    <x v="10"/>
    <x v="10"/>
    <x v="24"/>
    <x v="47"/>
    <x v="1"/>
    <x v="47"/>
    <x v="1"/>
    <x v="1"/>
    <x v="0"/>
  </r>
  <r>
    <x v="48"/>
    <x v="24"/>
    <x v="3"/>
    <x v="3"/>
    <x v="3"/>
    <x v="6"/>
    <x v="48"/>
    <x v="0"/>
    <x v="48"/>
    <x v="0"/>
    <x v="0"/>
    <x v="0"/>
  </r>
  <r>
    <x v="49"/>
    <x v="24"/>
    <x v="2"/>
    <x v="5"/>
    <x v="5"/>
    <x v="27"/>
    <x v="49"/>
    <x v="0"/>
    <x v="49"/>
    <x v="1"/>
    <x v="1"/>
    <x v="0"/>
  </r>
  <r>
    <x v="50"/>
    <x v="24"/>
    <x v="2"/>
    <x v="7"/>
    <x v="6"/>
    <x v="16"/>
    <x v="50"/>
    <x v="0"/>
    <x v="50"/>
    <x v="2"/>
    <x v="2"/>
    <x v="0"/>
  </r>
  <r>
    <x v="51"/>
    <x v="25"/>
    <x v="2"/>
    <x v="7"/>
    <x v="6"/>
    <x v="13"/>
    <x v="51"/>
    <x v="0"/>
    <x v="51"/>
    <x v="0"/>
    <x v="0"/>
    <x v="0"/>
  </r>
  <r>
    <x v="52"/>
    <x v="26"/>
    <x v="0"/>
    <x v="0"/>
    <x v="0"/>
    <x v="28"/>
    <x v="52"/>
    <x v="0"/>
    <x v="52"/>
    <x v="2"/>
    <x v="2"/>
    <x v="0"/>
  </r>
  <r>
    <x v="53"/>
    <x v="26"/>
    <x v="3"/>
    <x v="6"/>
    <x v="3"/>
    <x v="5"/>
    <x v="53"/>
    <x v="0"/>
    <x v="53"/>
    <x v="2"/>
    <x v="2"/>
    <x v="0"/>
  </r>
  <r>
    <x v="54"/>
    <x v="27"/>
    <x v="3"/>
    <x v="6"/>
    <x v="6"/>
    <x v="22"/>
    <x v="54"/>
    <x v="0"/>
    <x v="54"/>
    <x v="2"/>
    <x v="2"/>
    <x v="0"/>
  </r>
  <r>
    <x v="55"/>
    <x v="27"/>
    <x v="2"/>
    <x v="2"/>
    <x v="5"/>
    <x v="29"/>
    <x v="55"/>
    <x v="1"/>
    <x v="55"/>
    <x v="1"/>
    <x v="1"/>
    <x v="0"/>
  </r>
  <r>
    <x v="56"/>
    <x v="28"/>
    <x v="2"/>
    <x v="2"/>
    <x v="5"/>
    <x v="30"/>
    <x v="56"/>
    <x v="1"/>
    <x v="56"/>
    <x v="1"/>
    <x v="1"/>
    <x v="0"/>
  </r>
  <r>
    <x v="57"/>
    <x v="28"/>
    <x v="0"/>
    <x v="10"/>
    <x v="0"/>
    <x v="23"/>
    <x v="57"/>
    <x v="0"/>
    <x v="57"/>
    <x v="2"/>
    <x v="2"/>
    <x v="0"/>
  </r>
  <r>
    <x v="58"/>
    <x v="29"/>
    <x v="1"/>
    <x v="1"/>
    <x v="8"/>
    <x v="6"/>
    <x v="58"/>
    <x v="0"/>
    <x v="58"/>
    <x v="0"/>
    <x v="0"/>
    <x v="0"/>
  </r>
  <r>
    <x v="59"/>
    <x v="30"/>
    <x v="2"/>
    <x v="2"/>
    <x v="5"/>
    <x v="4"/>
    <x v="59"/>
    <x v="0"/>
    <x v="59"/>
    <x v="0"/>
    <x v="0"/>
    <x v="0"/>
  </r>
  <r>
    <x v="60"/>
    <x v="30"/>
    <x v="4"/>
    <x v="8"/>
    <x v="4"/>
    <x v="31"/>
    <x v="60"/>
    <x v="1"/>
    <x v="60"/>
    <x v="3"/>
    <x v="3"/>
    <x v="0"/>
  </r>
  <r>
    <x v="61"/>
    <x v="31"/>
    <x v="3"/>
    <x v="6"/>
    <x v="3"/>
    <x v="11"/>
    <x v="61"/>
    <x v="0"/>
    <x v="61"/>
    <x v="0"/>
    <x v="0"/>
    <x v="0"/>
  </r>
  <r>
    <x v="62"/>
    <x v="32"/>
    <x v="0"/>
    <x v="0"/>
    <x v="4"/>
    <x v="10"/>
    <x v="62"/>
    <x v="0"/>
    <x v="62"/>
    <x v="0"/>
    <x v="0"/>
    <x v="0"/>
  </r>
  <r>
    <x v="63"/>
    <x v="33"/>
    <x v="3"/>
    <x v="3"/>
    <x v="6"/>
    <x v="16"/>
    <x v="63"/>
    <x v="0"/>
    <x v="63"/>
    <x v="2"/>
    <x v="2"/>
    <x v="0"/>
  </r>
  <r>
    <x v="64"/>
    <x v="33"/>
    <x v="2"/>
    <x v="5"/>
    <x v="2"/>
    <x v="32"/>
    <x v="64"/>
    <x v="0"/>
    <x v="64"/>
    <x v="0"/>
    <x v="0"/>
    <x v="0"/>
  </r>
  <r>
    <x v="65"/>
    <x v="34"/>
    <x v="1"/>
    <x v="1"/>
    <x v="3"/>
    <x v="33"/>
    <x v="65"/>
    <x v="0"/>
    <x v="65"/>
    <x v="2"/>
    <x v="2"/>
    <x v="0"/>
  </r>
  <r>
    <x v="66"/>
    <x v="35"/>
    <x v="3"/>
    <x v="6"/>
    <x v="6"/>
    <x v="6"/>
    <x v="66"/>
    <x v="0"/>
    <x v="66"/>
    <x v="0"/>
    <x v="0"/>
    <x v="0"/>
  </r>
  <r>
    <x v="67"/>
    <x v="35"/>
    <x v="0"/>
    <x v="10"/>
    <x v="10"/>
    <x v="17"/>
    <x v="67"/>
    <x v="0"/>
    <x v="67"/>
    <x v="0"/>
    <x v="0"/>
    <x v="0"/>
  </r>
  <r>
    <x v="68"/>
    <x v="35"/>
    <x v="2"/>
    <x v="2"/>
    <x v="6"/>
    <x v="34"/>
    <x v="68"/>
    <x v="0"/>
    <x v="68"/>
    <x v="0"/>
    <x v="0"/>
    <x v="0"/>
  </r>
  <r>
    <x v="69"/>
    <x v="36"/>
    <x v="0"/>
    <x v="10"/>
    <x v="0"/>
    <x v="35"/>
    <x v="69"/>
    <x v="0"/>
    <x v="69"/>
    <x v="2"/>
    <x v="2"/>
    <x v="0"/>
  </r>
  <r>
    <x v="70"/>
    <x v="36"/>
    <x v="1"/>
    <x v="1"/>
    <x v="1"/>
    <x v="4"/>
    <x v="70"/>
    <x v="0"/>
    <x v="70"/>
    <x v="0"/>
    <x v="0"/>
    <x v="0"/>
  </r>
  <r>
    <x v="71"/>
    <x v="37"/>
    <x v="3"/>
    <x v="3"/>
    <x v="3"/>
    <x v="10"/>
    <x v="71"/>
    <x v="0"/>
    <x v="71"/>
    <x v="0"/>
    <x v="0"/>
    <x v="0"/>
  </r>
  <r>
    <x v="72"/>
    <x v="37"/>
    <x v="3"/>
    <x v="6"/>
    <x v="3"/>
    <x v="11"/>
    <x v="72"/>
    <x v="0"/>
    <x v="72"/>
    <x v="0"/>
    <x v="0"/>
    <x v="0"/>
  </r>
  <r>
    <x v="73"/>
    <x v="38"/>
    <x v="0"/>
    <x v="0"/>
    <x v="4"/>
    <x v="14"/>
    <x v="73"/>
    <x v="0"/>
    <x v="73"/>
    <x v="0"/>
    <x v="0"/>
    <x v="0"/>
  </r>
  <r>
    <x v="74"/>
    <x v="38"/>
    <x v="1"/>
    <x v="1"/>
    <x v="8"/>
    <x v="18"/>
    <x v="74"/>
    <x v="0"/>
    <x v="74"/>
    <x v="0"/>
    <x v="0"/>
    <x v="0"/>
  </r>
  <r>
    <x v="75"/>
    <x v="38"/>
    <x v="3"/>
    <x v="3"/>
    <x v="6"/>
    <x v="5"/>
    <x v="75"/>
    <x v="0"/>
    <x v="75"/>
    <x v="2"/>
    <x v="2"/>
    <x v="0"/>
  </r>
  <r>
    <x v="76"/>
    <x v="39"/>
    <x v="0"/>
    <x v="0"/>
    <x v="4"/>
    <x v="36"/>
    <x v="76"/>
    <x v="0"/>
    <x v="76"/>
    <x v="1"/>
    <x v="1"/>
    <x v="0"/>
  </r>
  <r>
    <x v="77"/>
    <x v="40"/>
    <x v="2"/>
    <x v="7"/>
    <x v="2"/>
    <x v="14"/>
    <x v="77"/>
    <x v="0"/>
    <x v="77"/>
    <x v="0"/>
    <x v="0"/>
    <x v="0"/>
  </r>
  <r>
    <x v="78"/>
    <x v="40"/>
    <x v="2"/>
    <x v="2"/>
    <x v="5"/>
    <x v="32"/>
    <x v="78"/>
    <x v="0"/>
    <x v="78"/>
    <x v="0"/>
    <x v="0"/>
    <x v="0"/>
  </r>
  <r>
    <x v="79"/>
    <x v="40"/>
    <x v="3"/>
    <x v="6"/>
    <x v="3"/>
    <x v="32"/>
    <x v="79"/>
    <x v="0"/>
    <x v="79"/>
    <x v="0"/>
    <x v="0"/>
    <x v="0"/>
  </r>
  <r>
    <x v="80"/>
    <x v="41"/>
    <x v="2"/>
    <x v="2"/>
    <x v="2"/>
    <x v="1"/>
    <x v="80"/>
    <x v="0"/>
    <x v="80"/>
    <x v="0"/>
    <x v="0"/>
    <x v="0"/>
  </r>
  <r>
    <x v="81"/>
    <x v="41"/>
    <x v="2"/>
    <x v="2"/>
    <x v="5"/>
    <x v="34"/>
    <x v="81"/>
    <x v="0"/>
    <x v="81"/>
    <x v="0"/>
    <x v="0"/>
    <x v="0"/>
  </r>
  <r>
    <x v="82"/>
    <x v="42"/>
    <x v="2"/>
    <x v="5"/>
    <x v="6"/>
    <x v="26"/>
    <x v="82"/>
    <x v="0"/>
    <x v="82"/>
    <x v="1"/>
    <x v="1"/>
    <x v="0"/>
  </r>
  <r>
    <x v="83"/>
    <x v="43"/>
    <x v="0"/>
    <x v="10"/>
    <x v="4"/>
    <x v="20"/>
    <x v="83"/>
    <x v="0"/>
    <x v="83"/>
    <x v="0"/>
    <x v="0"/>
    <x v="0"/>
  </r>
  <r>
    <x v="84"/>
    <x v="44"/>
    <x v="3"/>
    <x v="3"/>
    <x v="6"/>
    <x v="8"/>
    <x v="84"/>
    <x v="0"/>
    <x v="84"/>
    <x v="0"/>
    <x v="0"/>
    <x v="0"/>
  </r>
  <r>
    <x v="85"/>
    <x v="44"/>
    <x v="0"/>
    <x v="0"/>
    <x v="4"/>
    <x v="32"/>
    <x v="85"/>
    <x v="0"/>
    <x v="85"/>
    <x v="0"/>
    <x v="0"/>
    <x v="0"/>
  </r>
  <r>
    <x v="86"/>
    <x v="45"/>
    <x v="2"/>
    <x v="2"/>
    <x v="2"/>
    <x v="37"/>
    <x v="86"/>
    <x v="1"/>
    <x v="86"/>
    <x v="4"/>
    <x v="4"/>
    <x v="0"/>
  </r>
  <r>
    <x v="87"/>
    <x v="45"/>
    <x v="1"/>
    <x v="9"/>
    <x v="1"/>
    <x v="33"/>
    <x v="87"/>
    <x v="0"/>
    <x v="87"/>
    <x v="2"/>
    <x v="2"/>
    <x v="0"/>
  </r>
  <r>
    <x v="88"/>
    <x v="46"/>
    <x v="0"/>
    <x v="0"/>
    <x v="0"/>
    <x v="17"/>
    <x v="88"/>
    <x v="0"/>
    <x v="88"/>
    <x v="0"/>
    <x v="0"/>
    <x v="0"/>
  </r>
  <r>
    <x v="89"/>
    <x v="47"/>
    <x v="2"/>
    <x v="2"/>
    <x v="2"/>
    <x v="13"/>
    <x v="89"/>
    <x v="0"/>
    <x v="89"/>
    <x v="0"/>
    <x v="0"/>
    <x v="0"/>
  </r>
  <r>
    <x v="90"/>
    <x v="48"/>
    <x v="2"/>
    <x v="5"/>
    <x v="6"/>
    <x v="24"/>
    <x v="90"/>
    <x v="0"/>
    <x v="90"/>
    <x v="1"/>
    <x v="1"/>
    <x v="0"/>
  </r>
  <r>
    <x v="91"/>
    <x v="48"/>
    <x v="1"/>
    <x v="9"/>
    <x v="8"/>
    <x v="16"/>
    <x v="91"/>
    <x v="0"/>
    <x v="91"/>
    <x v="2"/>
    <x v="2"/>
    <x v="0"/>
  </r>
  <r>
    <x v="92"/>
    <x v="49"/>
    <x v="0"/>
    <x v="10"/>
    <x v="0"/>
    <x v="38"/>
    <x v="92"/>
    <x v="0"/>
    <x v="92"/>
    <x v="2"/>
    <x v="2"/>
    <x v="0"/>
  </r>
  <r>
    <x v="93"/>
    <x v="50"/>
    <x v="4"/>
    <x v="4"/>
    <x v="4"/>
    <x v="12"/>
    <x v="93"/>
    <x v="0"/>
    <x v="93"/>
    <x v="0"/>
    <x v="0"/>
    <x v="0"/>
  </r>
  <r>
    <x v="94"/>
    <x v="51"/>
    <x v="2"/>
    <x v="7"/>
    <x v="5"/>
    <x v="10"/>
    <x v="94"/>
    <x v="0"/>
    <x v="94"/>
    <x v="0"/>
    <x v="0"/>
    <x v="0"/>
  </r>
  <r>
    <x v="95"/>
    <x v="51"/>
    <x v="1"/>
    <x v="1"/>
    <x v="3"/>
    <x v="6"/>
    <x v="95"/>
    <x v="0"/>
    <x v="95"/>
    <x v="0"/>
    <x v="0"/>
    <x v="0"/>
  </r>
  <r>
    <x v="96"/>
    <x v="52"/>
    <x v="2"/>
    <x v="5"/>
    <x v="2"/>
    <x v="28"/>
    <x v="96"/>
    <x v="0"/>
    <x v="96"/>
    <x v="2"/>
    <x v="2"/>
    <x v="0"/>
  </r>
  <r>
    <x v="97"/>
    <x v="53"/>
    <x v="4"/>
    <x v="4"/>
    <x v="7"/>
    <x v="25"/>
    <x v="97"/>
    <x v="0"/>
    <x v="97"/>
    <x v="0"/>
    <x v="0"/>
    <x v="0"/>
  </r>
  <r>
    <x v="98"/>
    <x v="54"/>
    <x v="0"/>
    <x v="0"/>
    <x v="10"/>
    <x v="39"/>
    <x v="98"/>
    <x v="0"/>
    <x v="98"/>
    <x v="2"/>
    <x v="2"/>
    <x v="0"/>
  </r>
  <r>
    <x v="99"/>
    <x v="55"/>
    <x v="0"/>
    <x v="0"/>
    <x v="4"/>
    <x v="40"/>
    <x v="99"/>
    <x v="0"/>
    <x v="99"/>
    <x v="1"/>
    <x v="1"/>
    <x v="0"/>
  </r>
  <r>
    <x v="100"/>
    <x v="56"/>
    <x v="3"/>
    <x v="3"/>
    <x v="6"/>
    <x v="22"/>
    <x v="100"/>
    <x v="0"/>
    <x v="100"/>
    <x v="2"/>
    <x v="2"/>
    <x v="0"/>
  </r>
  <r>
    <x v="101"/>
    <x v="57"/>
    <x v="3"/>
    <x v="6"/>
    <x v="3"/>
    <x v="6"/>
    <x v="101"/>
    <x v="0"/>
    <x v="101"/>
    <x v="0"/>
    <x v="0"/>
    <x v="0"/>
  </r>
  <r>
    <x v="102"/>
    <x v="58"/>
    <x v="0"/>
    <x v="10"/>
    <x v="0"/>
    <x v="18"/>
    <x v="102"/>
    <x v="0"/>
    <x v="102"/>
    <x v="0"/>
    <x v="0"/>
    <x v="0"/>
  </r>
  <r>
    <x v="103"/>
    <x v="58"/>
    <x v="1"/>
    <x v="1"/>
    <x v="3"/>
    <x v="41"/>
    <x v="103"/>
    <x v="0"/>
    <x v="103"/>
    <x v="2"/>
    <x v="2"/>
    <x v="0"/>
  </r>
  <r>
    <x v="104"/>
    <x v="59"/>
    <x v="2"/>
    <x v="2"/>
    <x v="2"/>
    <x v="35"/>
    <x v="104"/>
    <x v="0"/>
    <x v="104"/>
    <x v="2"/>
    <x v="2"/>
    <x v="0"/>
  </r>
  <r>
    <x v="105"/>
    <x v="59"/>
    <x v="0"/>
    <x v="10"/>
    <x v="10"/>
    <x v="5"/>
    <x v="105"/>
    <x v="0"/>
    <x v="105"/>
    <x v="2"/>
    <x v="2"/>
    <x v="0"/>
  </r>
  <r>
    <x v="106"/>
    <x v="60"/>
    <x v="1"/>
    <x v="9"/>
    <x v="8"/>
    <x v="21"/>
    <x v="106"/>
    <x v="0"/>
    <x v="106"/>
    <x v="2"/>
    <x v="2"/>
    <x v="0"/>
  </r>
  <r>
    <x v="107"/>
    <x v="61"/>
    <x v="2"/>
    <x v="5"/>
    <x v="2"/>
    <x v="0"/>
    <x v="107"/>
    <x v="0"/>
    <x v="107"/>
    <x v="0"/>
    <x v="0"/>
    <x v="0"/>
  </r>
  <r>
    <x v="108"/>
    <x v="62"/>
    <x v="2"/>
    <x v="2"/>
    <x v="2"/>
    <x v="24"/>
    <x v="108"/>
    <x v="0"/>
    <x v="108"/>
    <x v="1"/>
    <x v="1"/>
    <x v="0"/>
  </r>
  <r>
    <x v="109"/>
    <x v="63"/>
    <x v="2"/>
    <x v="2"/>
    <x v="2"/>
    <x v="8"/>
    <x v="109"/>
    <x v="0"/>
    <x v="109"/>
    <x v="0"/>
    <x v="0"/>
    <x v="0"/>
  </r>
  <r>
    <x v="110"/>
    <x v="63"/>
    <x v="0"/>
    <x v="0"/>
    <x v="4"/>
    <x v="42"/>
    <x v="110"/>
    <x v="0"/>
    <x v="110"/>
    <x v="0"/>
    <x v="0"/>
    <x v="0"/>
  </r>
  <r>
    <x v="111"/>
    <x v="64"/>
    <x v="2"/>
    <x v="7"/>
    <x v="2"/>
    <x v="15"/>
    <x v="111"/>
    <x v="0"/>
    <x v="111"/>
    <x v="0"/>
    <x v="0"/>
    <x v="0"/>
  </r>
  <r>
    <x v="112"/>
    <x v="64"/>
    <x v="2"/>
    <x v="5"/>
    <x v="5"/>
    <x v="39"/>
    <x v="112"/>
    <x v="0"/>
    <x v="112"/>
    <x v="2"/>
    <x v="2"/>
    <x v="0"/>
  </r>
  <r>
    <x v="113"/>
    <x v="64"/>
    <x v="2"/>
    <x v="2"/>
    <x v="6"/>
    <x v="20"/>
    <x v="113"/>
    <x v="0"/>
    <x v="113"/>
    <x v="0"/>
    <x v="0"/>
    <x v="0"/>
  </r>
  <r>
    <x v="114"/>
    <x v="65"/>
    <x v="1"/>
    <x v="9"/>
    <x v="1"/>
    <x v="10"/>
    <x v="114"/>
    <x v="0"/>
    <x v="114"/>
    <x v="0"/>
    <x v="0"/>
    <x v="0"/>
  </r>
  <r>
    <x v="115"/>
    <x v="65"/>
    <x v="2"/>
    <x v="5"/>
    <x v="6"/>
    <x v="43"/>
    <x v="115"/>
    <x v="1"/>
    <x v="29"/>
    <x v="4"/>
    <x v="4"/>
    <x v="0"/>
  </r>
  <r>
    <x v="116"/>
    <x v="66"/>
    <x v="0"/>
    <x v="10"/>
    <x v="4"/>
    <x v="8"/>
    <x v="116"/>
    <x v="0"/>
    <x v="115"/>
    <x v="0"/>
    <x v="0"/>
    <x v="0"/>
  </r>
  <r>
    <x v="117"/>
    <x v="66"/>
    <x v="3"/>
    <x v="3"/>
    <x v="11"/>
    <x v="12"/>
    <x v="117"/>
    <x v="0"/>
    <x v="116"/>
    <x v="0"/>
    <x v="0"/>
    <x v="0"/>
  </r>
  <r>
    <x v="118"/>
    <x v="67"/>
    <x v="4"/>
    <x v="8"/>
    <x v="9"/>
    <x v="26"/>
    <x v="118"/>
    <x v="0"/>
    <x v="117"/>
    <x v="1"/>
    <x v="1"/>
    <x v="0"/>
  </r>
  <r>
    <x v="119"/>
    <x v="67"/>
    <x v="1"/>
    <x v="9"/>
    <x v="1"/>
    <x v="44"/>
    <x v="119"/>
    <x v="0"/>
    <x v="91"/>
    <x v="2"/>
    <x v="2"/>
    <x v="0"/>
  </r>
  <r>
    <x v="120"/>
    <x v="67"/>
    <x v="2"/>
    <x v="5"/>
    <x v="2"/>
    <x v="45"/>
    <x v="120"/>
    <x v="0"/>
    <x v="118"/>
    <x v="2"/>
    <x v="2"/>
    <x v="0"/>
  </r>
  <r>
    <x v="121"/>
    <x v="67"/>
    <x v="2"/>
    <x v="5"/>
    <x v="6"/>
    <x v="18"/>
    <x v="121"/>
    <x v="0"/>
    <x v="119"/>
    <x v="0"/>
    <x v="0"/>
    <x v="0"/>
  </r>
  <r>
    <x v="122"/>
    <x v="68"/>
    <x v="4"/>
    <x v="4"/>
    <x v="7"/>
    <x v="46"/>
    <x v="122"/>
    <x v="0"/>
    <x v="120"/>
    <x v="4"/>
    <x v="4"/>
    <x v="0"/>
  </r>
  <r>
    <x v="123"/>
    <x v="68"/>
    <x v="3"/>
    <x v="6"/>
    <x v="11"/>
    <x v="3"/>
    <x v="123"/>
    <x v="1"/>
    <x v="121"/>
    <x v="1"/>
    <x v="1"/>
    <x v="0"/>
  </r>
  <r>
    <x v="124"/>
    <x v="68"/>
    <x v="2"/>
    <x v="7"/>
    <x v="2"/>
    <x v="16"/>
    <x v="124"/>
    <x v="0"/>
    <x v="122"/>
    <x v="2"/>
    <x v="2"/>
    <x v="0"/>
  </r>
  <r>
    <x v="125"/>
    <x v="68"/>
    <x v="3"/>
    <x v="3"/>
    <x v="11"/>
    <x v="47"/>
    <x v="125"/>
    <x v="0"/>
    <x v="123"/>
    <x v="2"/>
    <x v="2"/>
    <x v="0"/>
  </r>
  <r>
    <x v="126"/>
    <x v="69"/>
    <x v="3"/>
    <x v="6"/>
    <x v="6"/>
    <x v="19"/>
    <x v="126"/>
    <x v="0"/>
    <x v="124"/>
    <x v="0"/>
    <x v="0"/>
    <x v="0"/>
  </r>
  <r>
    <x v="127"/>
    <x v="69"/>
    <x v="2"/>
    <x v="7"/>
    <x v="2"/>
    <x v="40"/>
    <x v="127"/>
    <x v="0"/>
    <x v="125"/>
    <x v="1"/>
    <x v="1"/>
    <x v="0"/>
  </r>
  <r>
    <x v="128"/>
    <x v="70"/>
    <x v="2"/>
    <x v="2"/>
    <x v="5"/>
    <x v="2"/>
    <x v="128"/>
    <x v="0"/>
    <x v="126"/>
    <x v="1"/>
    <x v="1"/>
    <x v="0"/>
  </r>
  <r>
    <x v="129"/>
    <x v="71"/>
    <x v="0"/>
    <x v="10"/>
    <x v="0"/>
    <x v="36"/>
    <x v="129"/>
    <x v="0"/>
    <x v="127"/>
    <x v="1"/>
    <x v="1"/>
    <x v="0"/>
  </r>
  <r>
    <x v="130"/>
    <x v="72"/>
    <x v="0"/>
    <x v="0"/>
    <x v="10"/>
    <x v="25"/>
    <x v="130"/>
    <x v="0"/>
    <x v="128"/>
    <x v="0"/>
    <x v="0"/>
    <x v="0"/>
  </r>
  <r>
    <x v="131"/>
    <x v="73"/>
    <x v="4"/>
    <x v="8"/>
    <x v="9"/>
    <x v="14"/>
    <x v="131"/>
    <x v="0"/>
    <x v="129"/>
    <x v="0"/>
    <x v="0"/>
    <x v="0"/>
  </r>
  <r>
    <x v="132"/>
    <x v="73"/>
    <x v="2"/>
    <x v="2"/>
    <x v="5"/>
    <x v="5"/>
    <x v="132"/>
    <x v="0"/>
    <x v="130"/>
    <x v="2"/>
    <x v="2"/>
    <x v="0"/>
  </r>
  <r>
    <x v="133"/>
    <x v="73"/>
    <x v="0"/>
    <x v="0"/>
    <x v="0"/>
    <x v="11"/>
    <x v="133"/>
    <x v="0"/>
    <x v="131"/>
    <x v="0"/>
    <x v="0"/>
    <x v="0"/>
  </r>
  <r>
    <x v="134"/>
    <x v="74"/>
    <x v="1"/>
    <x v="9"/>
    <x v="3"/>
    <x v="10"/>
    <x v="134"/>
    <x v="0"/>
    <x v="132"/>
    <x v="0"/>
    <x v="0"/>
    <x v="0"/>
  </r>
  <r>
    <x v="135"/>
    <x v="75"/>
    <x v="2"/>
    <x v="2"/>
    <x v="6"/>
    <x v="48"/>
    <x v="135"/>
    <x v="0"/>
    <x v="133"/>
    <x v="1"/>
    <x v="1"/>
    <x v="0"/>
  </r>
  <r>
    <x v="136"/>
    <x v="76"/>
    <x v="1"/>
    <x v="1"/>
    <x v="3"/>
    <x v="15"/>
    <x v="136"/>
    <x v="0"/>
    <x v="134"/>
    <x v="0"/>
    <x v="0"/>
    <x v="0"/>
  </r>
  <r>
    <x v="137"/>
    <x v="77"/>
    <x v="3"/>
    <x v="3"/>
    <x v="11"/>
    <x v="49"/>
    <x v="137"/>
    <x v="0"/>
    <x v="135"/>
    <x v="0"/>
    <x v="0"/>
    <x v="0"/>
  </r>
  <r>
    <x v="138"/>
    <x v="78"/>
    <x v="3"/>
    <x v="6"/>
    <x v="3"/>
    <x v="12"/>
    <x v="138"/>
    <x v="0"/>
    <x v="136"/>
    <x v="0"/>
    <x v="0"/>
    <x v="0"/>
  </r>
  <r>
    <x v="139"/>
    <x v="78"/>
    <x v="2"/>
    <x v="2"/>
    <x v="6"/>
    <x v="50"/>
    <x v="139"/>
    <x v="1"/>
    <x v="137"/>
    <x v="4"/>
    <x v="4"/>
    <x v="0"/>
  </r>
  <r>
    <x v="140"/>
    <x v="79"/>
    <x v="2"/>
    <x v="5"/>
    <x v="5"/>
    <x v="34"/>
    <x v="140"/>
    <x v="0"/>
    <x v="138"/>
    <x v="0"/>
    <x v="0"/>
    <x v="0"/>
  </r>
  <r>
    <x v="141"/>
    <x v="80"/>
    <x v="2"/>
    <x v="2"/>
    <x v="5"/>
    <x v="2"/>
    <x v="141"/>
    <x v="0"/>
    <x v="139"/>
    <x v="1"/>
    <x v="1"/>
    <x v="0"/>
  </r>
  <r>
    <x v="142"/>
    <x v="80"/>
    <x v="2"/>
    <x v="5"/>
    <x v="2"/>
    <x v="36"/>
    <x v="142"/>
    <x v="0"/>
    <x v="140"/>
    <x v="1"/>
    <x v="1"/>
    <x v="0"/>
  </r>
  <r>
    <x v="143"/>
    <x v="81"/>
    <x v="3"/>
    <x v="3"/>
    <x v="3"/>
    <x v="34"/>
    <x v="58"/>
    <x v="0"/>
    <x v="141"/>
    <x v="0"/>
    <x v="0"/>
    <x v="0"/>
  </r>
  <r>
    <x v="144"/>
    <x v="82"/>
    <x v="2"/>
    <x v="7"/>
    <x v="5"/>
    <x v="25"/>
    <x v="143"/>
    <x v="0"/>
    <x v="142"/>
    <x v="0"/>
    <x v="0"/>
    <x v="0"/>
  </r>
  <r>
    <x v="145"/>
    <x v="82"/>
    <x v="4"/>
    <x v="8"/>
    <x v="7"/>
    <x v="51"/>
    <x v="144"/>
    <x v="0"/>
    <x v="143"/>
    <x v="1"/>
    <x v="1"/>
    <x v="0"/>
  </r>
  <r>
    <x v="146"/>
    <x v="83"/>
    <x v="0"/>
    <x v="0"/>
    <x v="10"/>
    <x v="4"/>
    <x v="145"/>
    <x v="0"/>
    <x v="144"/>
    <x v="0"/>
    <x v="0"/>
    <x v="0"/>
  </r>
  <r>
    <x v="147"/>
    <x v="84"/>
    <x v="1"/>
    <x v="9"/>
    <x v="3"/>
    <x v="35"/>
    <x v="146"/>
    <x v="0"/>
    <x v="145"/>
    <x v="2"/>
    <x v="2"/>
    <x v="0"/>
  </r>
  <r>
    <x v="148"/>
    <x v="84"/>
    <x v="2"/>
    <x v="5"/>
    <x v="5"/>
    <x v="6"/>
    <x v="147"/>
    <x v="0"/>
    <x v="146"/>
    <x v="0"/>
    <x v="0"/>
    <x v="0"/>
  </r>
  <r>
    <x v="149"/>
    <x v="84"/>
    <x v="1"/>
    <x v="1"/>
    <x v="3"/>
    <x v="42"/>
    <x v="148"/>
    <x v="1"/>
    <x v="147"/>
    <x v="0"/>
    <x v="0"/>
    <x v="0"/>
  </r>
  <r>
    <x v="150"/>
    <x v="84"/>
    <x v="1"/>
    <x v="9"/>
    <x v="1"/>
    <x v="38"/>
    <x v="149"/>
    <x v="0"/>
    <x v="148"/>
    <x v="2"/>
    <x v="2"/>
    <x v="0"/>
  </r>
  <r>
    <x v="151"/>
    <x v="85"/>
    <x v="4"/>
    <x v="8"/>
    <x v="4"/>
    <x v="36"/>
    <x v="150"/>
    <x v="0"/>
    <x v="149"/>
    <x v="1"/>
    <x v="1"/>
    <x v="0"/>
  </r>
  <r>
    <x v="152"/>
    <x v="86"/>
    <x v="3"/>
    <x v="3"/>
    <x v="3"/>
    <x v="36"/>
    <x v="151"/>
    <x v="1"/>
    <x v="150"/>
    <x v="1"/>
    <x v="1"/>
    <x v="0"/>
  </r>
  <r>
    <x v="153"/>
    <x v="87"/>
    <x v="2"/>
    <x v="7"/>
    <x v="5"/>
    <x v="13"/>
    <x v="152"/>
    <x v="0"/>
    <x v="151"/>
    <x v="0"/>
    <x v="0"/>
    <x v="0"/>
  </r>
  <r>
    <x v="154"/>
    <x v="87"/>
    <x v="3"/>
    <x v="3"/>
    <x v="6"/>
    <x v="4"/>
    <x v="153"/>
    <x v="0"/>
    <x v="152"/>
    <x v="0"/>
    <x v="0"/>
    <x v="0"/>
  </r>
  <r>
    <x v="155"/>
    <x v="88"/>
    <x v="1"/>
    <x v="9"/>
    <x v="3"/>
    <x v="44"/>
    <x v="154"/>
    <x v="0"/>
    <x v="153"/>
    <x v="2"/>
    <x v="2"/>
    <x v="0"/>
  </r>
  <r>
    <x v="156"/>
    <x v="88"/>
    <x v="1"/>
    <x v="9"/>
    <x v="1"/>
    <x v="22"/>
    <x v="155"/>
    <x v="0"/>
    <x v="154"/>
    <x v="2"/>
    <x v="2"/>
    <x v="0"/>
  </r>
  <r>
    <x v="157"/>
    <x v="88"/>
    <x v="2"/>
    <x v="2"/>
    <x v="5"/>
    <x v="45"/>
    <x v="156"/>
    <x v="0"/>
    <x v="155"/>
    <x v="2"/>
    <x v="2"/>
    <x v="0"/>
  </r>
  <r>
    <x v="158"/>
    <x v="89"/>
    <x v="4"/>
    <x v="4"/>
    <x v="9"/>
    <x v="1"/>
    <x v="157"/>
    <x v="0"/>
    <x v="156"/>
    <x v="0"/>
    <x v="0"/>
    <x v="0"/>
  </r>
  <r>
    <x v="159"/>
    <x v="89"/>
    <x v="3"/>
    <x v="3"/>
    <x v="11"/>
    <x v="11"/>
    <x v="158"/>
    <x v="0"/>
    <x v="157"/>
    <x v="0"/>
    <x v="0"/>
    <x v="0"/>
  </r>
  <r>
    <x v="160"/>
    <x v="90"/>
    <x v="2"/>
    <x v="7"/>
    <x v="6"/>
    <x v="11"/>
    <x v="159"/>
    <x v="0"/>
    <x v="158"/>
    <x v="0"/>
    <x v="0"/>
    <x v="0"/>
  </r>
  <r>
    <x v="161"/>
    <x v="90"/>
    <x v="4"/>
    <x v="4"/>
    <x v="7"/>
    <x v="0"/>
    <x v="160"/>
    <x v="0"/>
    <x v="159"/>
    <x v="0"/>
    <x v="0"/>
    <x v="0"/>
  </r>
  <r>
    <x v="162"/>
    <x v="91"/>
    <x v="2"/>
    <x v="5"/>
    <x v="6"/>
    <x v="42"/>
    <x v="161"/>
    <x v="0"/>
    <x v="160"/>
    <x v="0"/>
    <x v="0"/>
    <x v="0"/>
  </r>
  <r>
    <x v="163"/>
    <x v="92"/>
    <x v="3"/>
    <x v="3"/>
    <x v="11"/>
    <x v="49"/>
    <x v="162"/>
    <x v="0"/>
    <x v="161"/>
    <x v="0"/>
    <x v="0"/>
    <x v="0"/>
  </r>
  <r>
    <x v="164"/>
    <x v="93"/>
    <x v="0"/>
    <x v="0"/>
    <x v="0"/>
    <x v="35"/>
    <x v="163"/>
    <x v="0"/>
    <x v="162"/>
    <x v="2"/>
    <x v="2"/>
    <x v="0"/>
  </r>
  <r>
    <x v="165"/>
    <x v="93"/>
    <x v="0"/>
    <x v="10"/>
    <x v="10"/>
    <x v="8"/>
    <x v="164"/>
    <x v="0"/>
    <x v="163"/>
    <x v="0"/>
    <x v="0"/>
    <x v="0"/>
  </r>
  <r>
    <x v="166"/>
    <x v="93"/>
    <x v="1"/>
    <x v="1"/>
    <x v="3"/>
    <x v="8"/>
    <x v="165"/>
    <x v="0"/>
    <x v="164"/>
    <x v="0"/>
    <x v="0"/>
    <x v="0"/>
  </r>
  <r>
    <x v="167"/>
    <x v="94"/>
    <x v="3"/>
    <x v="3"/>
    <x v="11"/>
    <x v="20"/>
    <x v="166"/>
    <x v="0"/>
    <x v="165"/>
    <x v="0"/>
    <x v="0"/>
    <x v="0"/>
  </r>
  <r>
    <x v="168"/>
    <x v="95"/>
    <x v="2"/>
    <x v="7"/>
    <x v="2"/>
    <x v="17"/>
    <x v="167"/>
    <x v="0"/>
    <x v="166"/>
    <x v="0"/>
    <x v="0"/>
    <x v="0"/>
  </r>
  <r>
    <x v="169"/>
    <x v="95"/>
    <x v="3"/>
    <x v="6"/>
    <x v="11"/>
    <x v="15"/>
    <x v="168"/>
    <x v="0"/>
    <x v="167"/>
    <x v="0"/>
    <x v="0"/>
    <x v="0"/>
  </r>
  <r>
    <x v="170"/>
    <x v="95"/>
    <x v="1"/>
    <x v="1"/>
    <x v="8"/>
    <x v="18"/>
    <x v="169"/>
    <x v="0"/>
    <x v="168"/>
    <x v="0"/>
    <x v="0"/>
    <x v="0"/>
  </r>
  <r>
    <x v="171"/>
    <x v="95"/>
    <x v="1"/>
    <x v="1"/>
    <x v="8"/>
    <x v="20"/>
    <x v="170"/>
    <x v="1"/>
    <x v="169"/>
    <x v="0"/>
    <x v="0"/>
    <x v="0"/>
  </r>
  <r>
    <x v="172"/>
    <x v="96"/>
    <x v="3"/>
    <x v="3"/>
    <x v="11"/>
    <x v="18"/>
    <x v="171"/>
    <x v="0"/>
    <x v="170"/>
    <x v="0"/>
    <x v="0"/>
    <x v="0"/>
  </r>
  <r>
    <x v="173"/>
    <x v="97"/>
    <x v="2"/>
    <x v="5"/>
    <x v="5"/>
    <x v="25"/>
    <x v="172"/>
    <x v="0"/>
    <x v="171"/>
    <x v="0"/>
    <x v="0"/>
    <x v="0"/>
  </r>
  <r>
    <x v="174"/>
    <x v="98"/>
    <x v="2"/>
    <x v="7"/>
    <x v="5"/>
    <x v="0"/>
    <x v="173"/>
    <x v="0"/>
    <x v="172"/>
    <x v="0"/>
    <x v="0"/>
    <x v="0"/>
  </r>
  <r>
    <x v="175"/>
    <x v="98"/>
    <x v="0"/>
    <x v="10"/>
    <x v="4"/>
    <x v="14"/>
    <x v="174"/>
    <x v="0"/>
    <x v="173"/>
    <x v="0"/>
    <x v="0"/>
    <x v="0"/>
  </r>
  <r>
    <x v="176"/>
    <x v="98"/>
    <x v="0"/>
    <x v="0"/>
    <x v="0"/>
    <x v="12"/>
    <x v="175"/>
    <x v="0"/>
    <x v="174"/>
    <x v="0"/>
    <x v="0"/>
    <x v="0"/>
  </r>
  <r>
    <x v="177"/>
    <x v="99"/>
    <x v="3"/>
    <x v="3"/>
    <x v="3"/>
    <x v="0"/>
    <x v="176"/>
    <x v="0"/>
    <x v="175"/>
    <x v="0"/>
    <x v="0"/>
    <x v="0"/>
  </r>
  <r>
    <x v="178"/>
    <x v="100"/>
    <x v="0"/>
    <x v="0"/>
    <x v="10"/>
    <x v="52"/>
    <x v="177"/>
    <x v="0"/>
    <x v="176"/>
    <x v="1"/>
    <x v="1"/>
    <x v="0"/>
  </r>
  <r>
    <x v="179"/>
    <x v="100"/>
    <x v="2"/>
    <x v="5"/>
    <x v="2"/>
    <x v="8"/>
    <x v="178"/>
    <x v="0"/>
    <x v="177"/>
    <x v="0"/>
    <x v="0"/>
    <x v="0"/>
  </r>
  <r>
    <x v="180"/>
    <x v="101"/>
    <x v="0"/>
    <x v="10"/>
    <x v="4"/>
    <x v="53"/>
    <x v="179"/>
    <x v="0"/>
    <x v="178"/>
    <x v="2"/>
    <x v="2"/>
    <x v="0"/>
  </r>
  <r>
    <x v="181"/>
    <x v="102"/>
    <x v="2"/>
    <x v="5"/>
    <x v="5"/>
    <x v="24"/>
    <x v="180"/>
    <x v="0"/>
    <x v="179"/>
    <x v="1"/>
    <x v="1"/>
    <x v="0"/>
  </r>
  <r>
    <x v="182"/>
    <x v="103"/>
    <x v="1"/>
    <x v="9"/>
    <x v="8"/>
    <x v="5"/>
    <x v="181"/>
    <x v="0"/>
    <x v="180"/>
    <x v="2"/>
    <x v="2"/>
    <x v="0"/>
  </r>
  <r>
    <x v="183"/>
    <x v="104"/>
    <x v="3"/>
    <x v="6"/>
    <x v="6"/>
    <x v="20"/>
    <x v="182"/>
    <x v="0"/>
    <x v="181"/>
    <x v="0"/>
    <x v="0"/>
    <x v="0"/>
  </r>
  <r>
    <x v="184"/>
    <x v="104"/>
    <x v="1"/>
    <x v="9"/>
    <x v="1"/>
    <x v="22"/>
    <x v="183"/>
    <x v="0"/>
    <x v="182"/>
    <x v="2"/>
    <x v="2"/>
    <x v="0"/>
  </r>
  <r>
    <x v="185"/>
    <x v="105"/>
    <x v="1"/>
    <x v="1"/>
    <x v="3"/>
    <x v="8"/>
    <x v="184"/>
    <x v="0"/>
    <x v="183"/>
    <x v="0"/>
    <x v="0"/>
    <x v="0"/>
  </r>
  <r>
    <x v="186"/>
    <x v="106"/>
    <x v="2"/>
    <x v="2"/>
    <x v="2"/>
    <x v="14"/>
    <x v="185"/>
    <x v="0"/>
    <x v="184"/>
    <x v="0"/>
    <x v="0"/>
    <x v="0"/>
  </r>
  <r>
    <x v="187"/>
    <x v="107"/>
    <x v="3"/>
    <x v="3"/>
    <x v="6"/>
    <x v="5"/>
    <x v="186"/>
    <x v="0"/>
    <x v="185"/>
    <x v="2"/>
    <x v="2"/>
    <x v="0"/>
  </r>
  <r>
    <x v="188"/>
    <x v="108"/>
    <x v="2"/>
    <x v="5"/>
    <x v="6"/>
    <x v="14"/>
    <x v="187"/>
    <x v="0"/>
    <x v="186"/>
    <x v="0"/>
    <x v="0"/>
    <x v="0"/>
  </r>
  <r>
    <x v="189"/>
    <x v="108"/>
    <x v="4"/>
    <x v="8"/>
    <x v="7"/>
    <x v="46"/>
    <x v="188"/>
    <x v="0"/>
    <x v="187"/>
    <x v="4"/>
    <x v="4"/>
    <x v="0"/>
  </r>
  <r>
    <x v="190"/>
    <x v="109"/>
    <x v="0"/>
    <x v="0"/>
    <x v="10"/>
    <x v="39"/>
    <x v="189"/>
    <x v="0"/>
    <x v="188"/>
    <x v="2"/>
    <x v="2"/>
    <x v="0"/>
  </r>
  <r>
    <x v="191"/>
    <x v="110"/>
    <x v="1"/>
    <x v="9"/>
    <x v="8"/>
    <x v="44"/>
    <x v="190"/>
    <x v="0"/>
    <x v="189"/>
    <x v="2"/>
    <x v="2"/>
    <x v="0"/>
  </r>
  <r>
    <x v="192"/>
    <x v="111"/>
    <x v="3"/>
    <x v="6"/>
    <x v="3"/>
    <x v="5"/>
    <x v="191"/>
    <x v="0"/>
    <x v="190"/>
    <x v="2"/>
    <x v="2"/>
    <x v="0"/>
  </r>
  <r>
    <x v="193"/>
    <x v="111"/>
    <x v="1"/>
    <x v="1"/>
    <x v="3"/>
    <x v="14"/>
    <x v="192"/>
    <x v="1"/>
    <x v="191"/>
    <x v="0"/>
    <x v="0"/>
    <x v="0"/>
  </r>
  <r>
    <x v="194"/>
    <x v="111"/>
    <x v="3"/>
    <x v="3"/>
    <x v="6"/>
    <x v="17"/>
    <x v="193"/>
    <x v="0"/>
    <x v="192"/>
    <x v="0"/>
    <x v="0"/>
    <x v="0"/>
  </r>
  <r>
    <x v="195"/>
    <x v="111"/>
    <x v="4"/>
    <x v="8"/>
    <x v="4"/>
    <x v="54"/>
    <x v="194"/>
    <x v="0"/>
    <x v="193"/>
    <x v="4"/>
    <x v="4"/>
    <x v="0"/>
  </r>
  <r>
    <x v="196"/>
    <x v="112"/>
    <x v="4"/>
    <x v="8"/>
    <x v="4"/>
    <x v="29"/>
    <x v="195"/>
    <x v="0"/>
    <x v="194"/>
    <x v="1"/>
    <x v="1"/>
    <x v="0"/>
  </r>
  <r>
    <x v="197"/>
    <x v="113"/>
    <x v="3"/>
    <x v="6"/>
    <x v="11"/>
    <x v="20"/>
    <x v="196"/>
    <x v="0"/>
    <x v="195"/>
    <x v="0"/>
    <x v="0"/>
    <x v="0"/>
  </r>
  <r>
    <x v="198"/>
    <x v="113"/>
    <x v="2"/>
    <x v="7"/>
    <x v="6"/>
    <x v="23"/>
    <x v="197"/>
    <x v="0"/>
    <x v="196"/>
    <x v="2"/>
    <x v="2"/>
    <x v="0"/>
  </r>
  <r>
    <x v="199"/>
    <x v="114"/>
    <x v="1"/>
    <x v="9"/>
    <x v="8"/>
    <x v="4"/>
    <x v="198"/>
    <x v="0"/>
    <x v="197"/>
    <x v="0"/>
    <x v="0"/>
    <x v="0"/>
  </r>
  <r>
    <x v="200"/>
    <x v="115"/>
    <x v="2"/>
    <x v="5"/>
    <x v="5"/>
    <x v="42"/>
    <x v="199"/>
    <x v="0"/>
    <x v="198"/>
    <x v="0"/>
    <x v="0"/>
    <x v="0"/>
  </r>
  <r>
    <x v="201"/>
    <x v="115"/>
    <x v="2"/>
    <x v="5"/>
    <x v="5"/>
    <x v="13"/>
    <x v="200"/>
    <x v="0"/>
    <x v="199"/>
    <x v="0"/>
    <x v="0"/>
    <x v="0"/>
  </r>
  <r>
    <x v="202"/>
    <x v="116"/>
    <x v="4"/>
    <x v="4"/>
    <x v="4"/>
    <x v="55"/>
    <x v="201"/>
    <x v="1"/>
    <x v="200"/>
    <x v="4"/>
    <x v="4"/>
    <x v="0"/>
  </r>
  <r>
    <x v="203"/>
    <x v="117"/>
    <x v="4"/>
    <x v="8"/>
    <x v="9"/>
    <x v="43"/>
    <x v="202"/>
    <x v="0"/>
    <x v="201"/>
    <x v="4"/>
    <x v="4"/>
    <x v="0"/>
  </r>
  <r>
    <x v="204"/>
    <x v="117"/>
    <x v="2"/>
    <x v="7"/>
    <x v="5"/>
    <x v="56"/>
    <x v="203"/>
    <x v="0"/>
    <x v="202"/>
    <x v="1"/>
    <x v="1"/>
    <x v="0"/>
  </r>
  <r>
    <x v="205"/>
    <x v="117"/>
    <x v="4"/>
    <x v="4"/>
    <x v="7"/>
    <x v="51"/>
    <x v="204"/>
    <x v="0"/>
    <x v="203"/>
    <x v="1"/>
    <x v="1"/>
    <x v="0"/>
  </r>
  <r>
    <x v="206"/>
    <x v="118"/>
    <x v="3"/>
    <x v="3"/>
    <x v="6"/>
    <x v="11"/>
    <x v="205"/>
    <x v="0"/>
    <x v="204"/>
    <x v="0"/>
    <x v="0"/>
    <x v="0"/>
  </r>
  <r>
    <x v="207"/>
    <x v="118"/>
    <x v="2"/>
    <x v="2"/>
    <x v="6"/>
    <x v="3"/>
    <x v="206"/>
    <x v="0"/>
    <x v="205"/>
    <x v="1"/>
    <x v="1"/>
    <x v="0"/>
  </r>
  <r>
    <x v="208"/>
    <x v="118"/>
    <x v="3"/>
    <x v="3"/>
    <x v="6"/>
    <x v="11"/>
    <x v="207"/>
    <x v="0"/>
    <x v="206"/>
    <x v="0"/>
    <x v="0"/>
    <x v="0"/>
  </r>
  <r>
    <x v="209"/>
    <x v="118"/>
    <x v="1"/>
    <x v="1"/>
    <x v="3"/>
    <x v="15"/>
    <x v="208"/>
    <x v="0"/>
    <x v="207"/>
    <x v="0"/>
    <x v="0"/>
    <x v="0"/>
  </r>
  <r>
    <x v="210"/>
    <x v="118"/>
    <x v="3"/>
    <x v="3"/>
    <x v="11"/>
    <x v="51"/>
    <x v="209"/>
    <x v="1"/>
    <x v="208"/>
    <x v="1"/>
    <x v="1"/>
    <x v="0"/>
  </r>
  <r>
    <x v="211"/>
    <x v="119"/>
    <x v="0"/>
    <x v="10"/>
    <x v="4"/>
    <x v="6"/>
    <x v="210"/>
    <x v="0"/>
    <x v="209"/>
    <x v="0"/>
    <x v="0"/>
    <x v="0"/>
  </r>
  <r>
    <x v="212"/>
    <x v="119"/>
    <x v="2"/>
    <x v="2"/>
    <x v="6"/>
    <x v="14"/>
    <x v="211"/>
    <x v="0"/>
    <x v="210"/>
    <x v="0"/>
    <x v="0"/>
    <x v="0"/>
  </r>
  <r>
    <x v="213"/>
    <x v="119"/>
    <x v="3"/>
    <x v="6"/>
    <x v="11"/>
    <x v="49"/>
    <x v="212"/>
    <x v="0"/>
    <x v="211"/>
    <x v="0"/>
    <x v="0"/>
    <x v="0"/>
  </r>
  <r>
    <x v="214"/>
    <x v="119"/>
    <x v="1"/>
    <x v="9"/>
    <x v="8"/>
    <x v="8"/>
    <x v="213"/>
    <x v="0"/>
    <x v="212"/>
    <x v="0"/>
    <x v="0"/>
    <x v="0"/>
  </r>
  <r>
    <x v="215"/>
    <x v="120"/>
    <x v="2"/>
    <x v="7"/>
    <x v="6"/>
    <x v="53"/>
    <x v="214"/>
    <x v="0"/>
    <x v="213"/>
    <x v="2"/>
    <x v="2"/>
    <x v="0"/>
  </r>
  <r>
    <x v="216"/>
    <x v="121"/>
    <x v="2"/>
    <x v="2"/>
    <x v="5"/>
    <x v="20"/>
    <x v="215"/>
    <x v="0"/>
    <x v="214"/>
    <x v="0"/>
    <x v="0"/>
    <x v="0"/>
  </r>
  <r>
    <x v="217"/>
    <x v="122"/>
    <x v="1"/>
    <x v="1"/>
    <x v="3"/>
    <x v="5"/>
    <x v="216"/>
    <x v="0"/>
    <x v="215"/>
    <x v="2"/>
    <x v="2"/>
    <x v="0"/>
  </r>
  <r>
    <x v="218"/>
    <x v="122"/>
    <x v="1"/>
    <x v="9"/>
    <x v="1"/>
    <x v="25"/>
    <x v="217"/>
    <x v="1"/>
    <x v="216"/>
    <x v="0"/>
    <x v="0"/>
    <x v="0"/>
  </r>
  <r>
    <x v="219"/>
    <x v="123"/>
    <x v="1"/>
    <x v="9"/>
    <x v="1"/>
    <x v="22"/>
    <x v="218"/>
    <x v="0"/>
    <x v="217"/>
    <x v="2"/>
    <x v="2"/>
    <x v="0"/>
  </r>
  <r>
    <x v="220"/>
    <x v="123"/>
    <x v="0"/>
    <x v="10"/>
    <x v="10"/>
    <x v="11"/>
    <x v="219"/>
    <x v="0"/>
    <x v="218"/>
    <x v="0"/>
    <x v="0"/>
    <x v="0"/>
  </r>
  <r>
    <x v="221"/>
    <x v="123"/>
    <x v="4"/>
    <x v="8"/>
    <x v="9"/>
    <x v="49"/>
    <x v="220"/>
    <x v="0"/>
    <x v="219"/>
    <x v="0"/>
    <x v="0"/>
    <x v="0"/>
  </r>
  <r>
    <x v="222"/>
    <x v="124"/>
    <x v="0"/>
    <x v="0"/>
    <x v="0"/>
    <x v="14"/>
    <x v="221"/>
    <x v="0"/>
    <x v="220"/>
    <x v="0"/>
    <x v="0"/>
    <x v="0"/>
  </r>
  <r>
    <x v="223"/>
    <x v="125"/>
    <x v="3"/>
    <x v="3"/>
    <x v="11"/>
    <x v="6"/>
    <x v="222"/>
    <x v="0"/>
    <x v="221"/>
    <x v="0"/>
    <x v="0"/>
    <x v="0"/>
  </r>
  <r>
    <x v="224"/>
    <x v="126"/>
    <x v="0"/>
    <x v="0"/>
    <x v="10"/>
    <x v="44"/>
    <x v="223"/>
    <x v="0"/>
    <x v="222"/>
    <x v="2"/>
    <x v="2"/>
    <x v="0"/>
  </r>
  <r>
    <x v="225"/>
    <x v="126"/>
    <x v="4"/>
    <x v="8"/>
    <x v="7"/>
    <x v="57"/>
    <x v="224"/>
    <x v="0"/>
    <x v="223"/>
    <x v="4"/>
    <x v="4"/>
    <x v="0"/>
  </r>
  <r>
    <x v="226"/>
    <x v="126"/>
    <x v="0"/>
    <x v="0"/>
    <x v="10"/>
    <x v="27"/>
    <x v="225"/>
    <x v="1"/>
    <x v="224"/>
    <x v="1"/>
    <x v="1"/>
    <x v="0"/>
  </r>
  <r>
    <x v="227"/>
    <x v="127"/>
    <x v="2"/>
    <x v="2"/>
    <x v="2"/>
    <x v="56"/>
    <x v="226"/>
    <x v="0"/>
    <x v="225"/>
    <x v="1"/>
    <x v="1"/>
    <x v="0"/>
  </r>
  <r>
    <x v="228"/>
    <x v="128"/>
    <x v="3"/>
    <x v="3"/>
    <x v="6"/>
    <x v="15"/>
    <x v="227"/>
    <x v="0"/>
    <x v="226"/>
    <x v="0"/>
    <x v="0"/>
    <x v="0"/>
  </r>
  <r>
    <x v="229"/>
    <x v="129"/>
    <x v="4"/>
    <x v="4"/>
    <x v="9"/>
    <x v="21"/>
    <x v="228"/>
    <x v="0"/>
    <x v="102"/>
    <x v="2"/>
    <x v="2"/>
    <x v="0"/>
  </r>
  <r>
    <x v="230"/>
    <x v="130"/>
    <x v="3"/>
    <x v="3"/>
    <x v="6"/>
    <x v="5"/>
    <x v="229"/>
    <x v="0"/>
    <x v="227"/>
    <x v="2"/>
    <x v="2"/>
    <x v="0"/>
  </r>
  <r>
    <x v="231"/>
    <x v="131"/>
    <x v="1"/>
    <x v="9"/>
    <x v="8"/>
    <x v="32"/>
    <x v="230"/>
    <x v="1"/>
    <x v="228"/>
    <x v="0"/>
    <x v="0"/>
    <x v="0"/>
  </r>
  <r>
    <x v="232"/>
    <x v="132"/>
    <x v="1"/>
    <x v="1"/>
    <x v="1"/>
    <x v="34"/>
    <x v="231"/>
    <x v="0"/>
    <x v="229"/>
    <x v="0"/>
    <x v="0"/>
    <x v="0"/>
  </r>
  <r>
    <x v="233"/>
    <x v="133"/>
    <x v="3"/>
    <x v="3"/>
    <x v="11"/>
    <x v="34"/>
    <x v="232"/>
    <x v="0"/>
    <x v="230"/>
    <x v="0"/>
    <x v="0"/>
    <x v="0"/>
  </r>
  <r>
    <x v="234"/>
    <x v="134"/>
    <x v="0"/>
    <x v="0"/>
    <x v="10"/>
    <x v="6"/>
    <x v="233"/>
    <x v="0"/>
    <x v="231"/>
    <x v="0"/>
    <x v="0"/>
    <x v="0"/>
  </r>
  <r>
    <x v="235"/>
    <x v="134"/>
    <x v="1"/>
    <x v="1"/>
    <x v="8"/>
    <x v="45"/>
    <x v="234"/>
    <x v="0"/>
    <x v="232"/>
    <x v="2"/>
    <x v="2"/>
    <x v="0"/>
  </r>
  <r>
    <x v="236"/>
    <x v="134"/>
    <x v="0"/>
    <x v="10"/>
    <x v="4"/>
    <x v="13"/>
    <x v="235"/>
    <x v="0"/>
    <x v="233"/>
    <x v="0"/>
    <x v="0"/>
    <x v="0"/>
  </r>
  <r>
    <x v="237"/>
    <x v="135"/>
    <x v="3"/>
    <x v="6"/>
    <x v="11"/>
    <x v="39"/>
    <x v="236"/>
    <x v="0"/>
    <x v="234"/>
    <x v="2"/>
    <x v="2"/>
    <x v="0"/>
  </r>
  <r>
    <x v="238"/>
    <x v="136"/>
    <x v="1"/>
    <x v="1"/>
    <x v="3"/>
    <x v="38"/>
    <x v="237"/>
    <x v="0"/>
    <x v="235"/>
    <x v="2"/>
    <x v="2"/>
    <x v="0"/>
  </r>
  <r>
    <x v="239"/>
    <x v="136"/>
    <x v="2"/>
    <x v="5"/>
    <x v="6"/>
    <x v="52"/>
    <x v="238"/>
    <x v="0"/>
    <x v="236"/>
    <x v="1"/>
    <x v="1"/>
    <x v="0"/>
  </r>
  <r>
    <x v="240"/>
    <x v="137"/>
    <x v="3"/>
    <x v="6"/>
    <x v="11"/>
    <x v="42"/>
    <x v="239"/>
    <x v="0"/>
    <x v="237"/>
    <x v="0"/>
    <x v="0"/>
    <x v="0"/>
  </r>
  <r>
    <x v="241"/>
    <x v="137"/>
    <x v="0"/>
    <x v="0"/>
    <x v="4"/>
    <x v="58"/>
    <x v="240"/>
    <x v="1"/>
    <x v="238"/>
    <x v="1"/>
    <x v="1"/>
    <x v="0"/>
  </r>
  <r>
    <x v="242"/>
    <x v="137"/>
    <x v="2"/>
    <x v="5"/>
    <x v="5"/>
    <x v="14"/>
    <x v="241"/>
    <x v="0"/>
    <x v="239"/>
    <x v="0"/>
    <x v="0"/>
    <x v="0"/>
  </r>
  <r>
    <x v="243"/>
    <x v="138"/>
    <x v="0"/>
    <x v="10"/>
    <x v="10"/>
    <x v="35"/>
    <x v="32"/>
    <x v="0"/>
    <x v="240"/>
    <x v="2"/>
    <x v="2"/>
    <x v="0"/>
  </r>
  <r>
    <x v="244"/>
    <x v="139"/>
    <x v="2"/>
    <x v="5"/>
    <x v="5"/>
    <x v="32"/>
    <x v="242"/>
    <x v="0"/>
    <x v="241"/>
    <x v="0"/>
    <x v="0"/>
    <x v="0"/>
  </r>
  <r>
    <x v="245"/>
    <x v="140"/>
    <x v="4"/>
    <x v="8"/>
    <x v="9"/>
    <x v="22"/>
    <x v="243"/>
    <x v="0"/>
    <x v="242"/>
    <x v="2"/>
    <x v="2"/>
    <x v="0"/>
  </r>
  <r>
    <x v="246"/>
    <x v="141"/>
    <x v="3"/>
    <x v="6"/>
    <x v="11"/>
    <x v="5"/>
    <x v="244"/>
    <x v="0"/>
    <x v="243"/>
    <x v="2"/>
    <x v="2"/>
    <x v="0"/>
  </r>
  <r>
    <x v="247"/>
    <x v="142"/>
    <x v="3"/>
    <x v="6"/>
    <x v="3"/>
    <x v="17"/>
    <x v="245"/>
    <x v="0"/>
    <x v="244"/>
    <x v="0"/>
    <x v="0"/>
    <x v="0"/>
  </r>
  <r>
    <x v="248"/>
    <x v="143"/>
    <x v="3"/>
    <x v="6"/>
    <x v="3"/>
    <x v="16"/>
    <x v="246"/>
    <x v="0"/>
    <x v="245"/>
    <x v="2"/>
    <x v="2"/>
    <x v="0"/>
  </r>
  <r>
    <x v="249"/>
    <x v="143"/>
    <x v="3"/>
    <x v="3"/>
    <x v="6"/>
    <x v="4"/>
    <x v="247"/>
    <x v="0"/>
    <x v="246"/>
    <x v="0"/>
    <x v="0"/>
    <x v="0"/>
  </r>
  <r>
    <x v="250"/>
    <x v="144"/>
    <x v="1"/>
    <x v="1"/>
    <x v="8"/>
    <x v="12"/>
    <x v="248"/>
    <x v="0"/>
    <x v="247"/>
    <x v="0"/>
    <x v="0"/>
    <x v="0"/>
  </r>
  <r>
    <x v="251"/>
    <x v="145"/>
    <x v="1"/>
    <x v="9"/>
    <x v="1"/>
    <x v="1"/>
    <x v="249"/>
    <x v="1"/>
    <x v="248"/>
    <x v="0"/>
    <x v="0"/>
    <x v="0"/>
  </r>
  <r>
    <x v="252"/>
    <x v="146"/>
    <x v="2"/>
    <x v="5"/>
    <x v="2"/>
    <x v="52"/>
    <x v="250"/>
    <x v="0"/>
    <x v="249"/>
    <x v="1"/>
    <x v="1"/>
    <x v="0"/>
  </r>
  <r>
    <x v="253"/>
    <x v="147"/>
    <x v="1"/>
    <x v="9"/>
    <x v="8"/>
    <x v="15"/>
    <x v="251"/>
    <x v="0"/>
    <x v="250"/>
    <x v="0"/>
    <x v="0"/>
    <x v="0"/>
  </r>
  <r>
    <x v="254"/>
    <x v="147"/>
    <x v="3"/>
    <x v="3"/>
    <x v="3"/>
    <x v="0"/>
    <x v="252"/>
    <x v="0"/>
    <x v="251"/>
    <x v="0"/>
    <x v="0"/>
    <x v="0"/>
  </r>
  <r>
    <x v="255"/>
    <x v="148"/>
    <x v="1"/>
    <x v="1"/>
    <x v="1"/>
    <x v="35"/>
    <x v="253"/>
    <x v="0"/>
    <x v="252"/>
    <x v="2"/>
    <x v="2"/>
    <x v="0"/>
  </r>
  <r>
    <x v="256"/>
    <x v="149"/>
    <x v="1"/>
    <x v="9"/>
    <x v="8"/>
    <x v="6"/>
    <x v="254"/>
    <x v="0"/>
    <x v="253"/>
    <x v="0"/>
    <x v="0"/>
    <x v="0"/>
  </r>
  <r>
    <x v="257"/>
    <x v="149"/>
    <x v="3"/>
    <x v="3"/>
    <x v="11"/>
    <x v="33"/>
    <x v="255"/>
    <x v="0"/>
    <x v="254"/>
    <x v="2"/>
    <x v="2"/>
    <x v="0"/>
  </r>
  <r>
    <x v="258"/>
    <x v="150"/>
    <x v="0"/>
    <x v="0"/>
    <x v="10"/>
    <x v="17"/>
    <x v="256"/>
    <x v="0"/>
    <x v="255"/>
    <x v="0"/>
    <x v="0"/>
    <x v="0"/>
  </r>
  <r>
    <x v="259"/>
    <x v="151"/>
    <x v="3"/>
    <x v="6"/>
    <x v="11"/>
    <x v="6"/>
    <x v="257"/>
    <x v="0"/>
    <x v="256"/>
    <x v="0"/>
    <x v="0"/>
    <x v="0"/>
  </r>
  <r>
    <x v="260"/>
    <x v="152"/>
    <x v="0"/>
    <x v="10"/>
    <x v="10"/>
    <x v="34"/>
    <x v="258"/>
    <x v="0"/>
    <x v="257"/>
    <x v="0"/>
    <x v="0"/>
    <x v="0"/>
  </r>
  <r>
    <x v="261"/>
    <x v="153"/>
    <x v="2"/>
    <x v="7"/>
    <x v="2"/>
    <x v="36"/>
    <x v="259"/>
    <x v="0"/>
    <x v="258"/>
    <x v="1"/>
    <x v="1"/>
    <x v="0"/>
  </r>
  <r>
    <x v="262"/>
    <x v="153"/>
    <x v="2"/>
    <x v="5"/>
    <x v="5"/>
    <x v="6"/>
    <x v="260"/>
    <x v="0"/>
    <x v="259"/>
    <x v="0"/>
    <x v="0"/>
    <x v="0"/>
  </r>
  <r>
    <x v="263"/>
    <x v="153"/>
    <x v="2"/>
    <x v="2"/>
    <x v="5"/>
    <x v="49"/>
    <x v="261"/>
    <x v="0"/>
    <x v="260"/>
    <x v="0"/>
    <x v="0"/>
    <x v="0"/>
  </r>
  <r>
    <x v="264"/>
    <x v="153"/>
    <x v="4"/>
    <x v="8"/>
    <x v="9"/>
    <x v="50"/>
    <x v="262"/>
    <x v="0"/>
    <x v="261"/>
    <x v="4"/>
    <x v="4"/>
    <x v="0"/>
  </r>
  <r>
    <x v="265"/>
    <x v="154"/>
    <x v="2"/>
    <x v="7"/>
    <x v="5"/>
    <x v="25"/>
    <x v="263"/>
    <x v="0"/>
    <x v="262"/>
    <x v="0"/>
    <x v="0"/>
    <x v="0"/>
  </r>
  <r>
    <x v="266"/>
    <x v="155"/>
    <x v="2"/>
    <x v="2"/>
    <x v="5"/>
    <x v="49"/>
    <x v="264"/>
    <x v="0"/>
    <x v="263"/>
    <x v="0"/>
    <x v="0"/>
    <x v="0"/>
  </r>
  <r>
    <x v="267"/>
    <x v="155"/>
    <x v="3"/>
    <x v="3"/>
    <x v="11"/>
    <x v="26"/>
    <x v="265"/>
    <x v="1"/>
    <x v="264"/>
    <x v="1"/>
    <x v="1"/>
    <x v="0"/>
  </r>
  <r>
    <x v="268"/>
    <x v="156"/>
    <x v="2"/>
    <x v="7"/>
    <x v="6"/>
    <x v="20"/>
    <x v="266"/>
    <x v="0"/>
    <x v="265"/>
    <x v="0"/>
    <x v="0"/>
    <x v="0"/>
  </r>
  <r>
    <x v="269"/>
    <x v="157"/>
    <x v="3"/>
    <x v="6"/>
    <x v="11"/>
    <x v="19"/>
    <x v="267"/>
    <x v="0"/>
    <x v="266"/>
    <x v="0"/>
    <x v="0"/>
    <x v="0"/>
  </r>
  <r>
    <x v="270"/>
    <x v="158"/>
    <x v="2"/>
    <x v="7"/>
    <x v="2"/>
    <x v="11"/>
    <x v="268"/>
    <x v="0"/>
    <x v="267"/>
    <x v="0"/>
    <x v="0"/>
    <x v="0"/>
  </r>
  <r>
    <x v="271"/>
    <x v="159"/>
    <x v="1"/>
    <x v="9"/>
    <x v="8"/>
    <x v="33"/>
    <x v="269"/>
    <x v="0"/>
    <x v="268"/>
    <x v="2"/>
    <x v="2"/>
    <x v="0"/>
  </r>
  <r>
    <x v="272"/>
    <x v="160"/>
    <x v="1"/>
    <x v="1"/>
    <x v="1"/>
    <x v="34"/>
    <x v="270"/>
    <x v="0"/>
    <x v="269"/>
    <x v="0"/>
    <x v="0"/>
    <x v="0"/>
  </r>
  <r>
    <x v="273"/>
    <x v="160"/>
    <x v="2"/>
    <x v="2"/>
    <x v="2"/>
    <x v="13"/>
    <x v="271"/>
    <x v="0"/>
    <x v="270"/>
    <x v="0"/>
    <x v="0"/>
    <x v="0"/>
  </r>
  <r>
    <x v="274"/>
    <x v="160"/>
    <x v="2"/>
    <x v="2"/>
    <x v="6"/>
    <x v="20"/>
    <x v="272"/>
    <x v="0"/>
    <x v="271"/>
    <x v="0"/>
    <x v="0"/>
    <x v="0"/>
  </r>
  <r>
    <x v="275"/>
    <x v="160"/>
    <x v="2"/>
    <x v="7"/>
    <x v="5"/>
    <x v="27"/>
    <x v="273"/>
    <x v="0"/>
    <x v="272"/>
    <x v="1"/>
    <x v="1"/>
    <x v="0"/>
  </r>
  <r>
    <x v="276"/>
    <x v="161"/>
    <x v="2"/>
    <x v="7"/>
    <x v="6"/>
    <x v="45"/>
    <x v="274"/>
    <x v="0"/>
    <x v="273"/>
    <x v="2"/>
    <x v="2"/>
    <x v="0"/>
  </r>
  <r>
    <x v="277"/>
    <x v="162"/>
    <x v="2"/>
    <x v="5"/>
    <x v="2"/>
    <x v="56"/>
    <x v="275"/>
    <x v="0"/>
    <x v="274"/>
    <x v="1"/>
    <x v="1"/>
    <x v="0"/>
  </r>
  <r>
    <x v="278"/>
    <x v="163"/>
    <x v="0"/>
    <x v="10"/>
    <x v="0"/>
    <x v="11"/>
    <x v="276"/>
    <x v="0"/>
    <x v="275"/>
    <x v="0"/>
    <x v="0"/>
    <x v="0"/>
  </r>
  <r>
    <x v="279"/>
    <x v="163"/>
    <x v="2"/>
    <x v="5"/>
    <x v="6"/>
    <x v="59"/>
    <x v="277"/>
    <x v="1"/>
    <x v="276"/>
    <x v="4"/>
    <x v="4"/>
    <x v="0"/>
  </r>
  <r>
    <x v="280"/>
    <x v="164"/>
    <x v="0"/>
    <x v="10"/>
    <x v="10"/>
    <x v="6"/>
    <x v="278"/>
    <x v="0"/>
    <x v="277"/>
    <x v="0"/>
    <x v="0"/>
    <x v="0"/>
  </r>
  <r>
    <x v="281"/>
    <x v="164"/>
    <x v="1"/>
    <x v="1"/>
    <x v="8"/>
    <x v="35"/>
    <x v="279"/>
    <x v="0"/>
    <x v="278"/>
    <x v="2"/>
    <x v="2"/>
    <x v="0"/>
  </r>
  <r>
    <x v="282"/>
    <x v="164"/>
    <x v="2"/>
    <x v="5"/>
    <x v="2"/>
    <x v="34"/>
    <x v="280"/>
    <x v="0"/>
    <x v="279"/>
    <x v="0"/>
    <x v="0"/>
    <x v="0"/>
  </r>
  <r>
    <x v="283"/>
    <x v="165"/>
    <x v="4"/>
    <x v="8"/>
    <x v="7"/>
    <x v="60"/>
    <x v="281"/>
    <x v="0"/>
    <x v="280"/>
    <x v="1"/>
    <x v="1"/>
    <x v="0"/>
  </r>
  <r>
    <x v="284"/>
    <x v="166"/>
    <x v="0"/>
    <x v="10"/>
    <x v="10"/>
    <x v="4"/>
    <x v="282"/>
    <x v="0"/>
    <x v="281"/>
    <x v="0"/>
    <x v="0"/>
    <x v="0"/>
  </r>
  <r>
    <x v="285"/>
    <x v="166"/>
    <x v="2"/>
    <x v="7"/>
    <x v="2"/>
    <x v="40"/>
    <x v="283"/>
    <x v="0"/>
    <x v="282"/>
    <x v="1"/>
    <x v="1"/>
    <x v="0"/>
  </r>
  <r>
    <x v="286"/>
    <x v="166"/>
    <x v="3"/>
    <x v="6"/>
    <x v="6"/>
    <x v="19"/>
    <x v="284"/>
    <x v="0"/>
    <x v="283"/>
    <x v="0"/>
    <x v="0"/>
    <x v="0"/>
  </r>
  <r>
    <x v="287"/>
    <x v="167"/>
    <x v="4"/>
    <x v="8"/>
    <x v="7"/>
    <x v="61"/>
    <x v="285"/>
    <x v="1"/>
    <x v="284"/>
    <x v="4"/>
    <x v="4"/>
    <x v="0"/>
  </r>
  <r>
    <x v="288"/>
    <x v="167"/>
    <x v="0"/>
    <x v="10"/>
    <x v="0"/>
    <x v="33"/>
    <x v="286"/>
    <x v="0"/>
    <x v="50"/>
    <x v="2"/>
    <x v="2"/>
    <x v="0"/>
  </r>
  <r>
    <x v="289"/>
    <x v="167"/>
    <x v="2"/>
    <x v="2"/>
    <x v="2"/>
    <x v="36"/>
    <x v="287"/>
    <x v="0"/>
    <x v="285"/>
    <x v="1"/>
    <x v="1"/>
    <x v="0"/>
  </r>
  <r>
    <x v="290"/>
    <x v="168"/>
    <x v="2"/>
    <x v="2"/>
    <x v="6"/>
    <x v="19"/>
    <x v="288"/>
    <x v="0"/>
    <x v="286"/>
    <x v="0"/>
    <x v="0"/>
    <x v="0"/>
  </r>
  <r>
    <x v="291"/>
    <x v="168"/>
    <x v="1"/>
    <x v="9"/>
    <x v="1"/>
    <x v="0"/>
    <x v="289"/>
    <x v="0"/>
    <x v="287"/>
    <x v="0"/>
    <x v="0"/>
    <x v="0"/>
  </r>
  <r>
    <x v="292"/>
    <x v="169"/>
    <x v="3"/>
    <x v="6"/>
    <x v="3"/>
    <x v="38"/>
    <x v="290"/>
    <x v="0"/>
    <x v="254"/>
    <x v="2"/>
    <x v="2"/>
    <x v="0"/>
  </r>
  <r>
    <x v="293"/>
    <x v="170"/>
    <x v="4"/>
    <x v="8"/>
    <x v="4"/>
    <x v="62"/>
    <x v="291"/>
    <x v="1"/>
    <x v="288"/>
    <x v="4"/>
    <x v="4"/>
    <x v="0"/>
  </r>
  <r>
    <x v="294"/>
    <x v="171"/>
    <x v="3"/>
    <x v="3"/>
    <x v="6"/>
    <x v="38"/>
    <x v="292"/>
    <x v="0"/>
    <x v="289"/>
    <x v="2"/>
    <x v="2"/>
    <x v="0"/>
  </r>
  <r>
    <x v="295"/>
    <x v="172"/>
    <x v="1"/>
    <x v="9"/>
    <x v="8"/>
    <x v="5"/>
    <x v="293"/>
    <x v="0"/>
    <x v="290"/>
    <x v="2"/>
    <x v="2"/>
    <x v="0"/>
  </r>
  <r>
    <x v="296"/>
    <x v="173"/>
    <x v="2"/>
    <x v="2"/>
    <x v="2"/>
    <x v="34"/>
    <x v="294"/>
    <x v="0"/>
    <x v="291"/>
    <x v="0"/>
    <x v="0"/>
    <x v="0"/>
  </r>
  <r>
    <x v="297"/>
    <x v="173"/>
    <x v="2"/>
    <x v="5"/>
    <x v="5"/>
    <x v="4"/>
    <x v="295"/>
    <x v="0"/>
    <x v="292"/>
    <x v="0"/>
    <x v="0"/>
    <x v="0"/>
  </r>
  <r>
    <x v="298"/>
    <x v="174"/>
    <x v="2"/>
    <x v="2"/>
    <x v="2"/>
    <x v="11"/>
    <x v="296"/>
    <x v="0"/>
    <x v="293"/>
    <x v="0"/>
    <x v="0"/>
    <x v="0"/>
  </r>
  <r>
    <x v="299"/>
    <x v="174"/>
    <x v="3"/>
    <x v="3"/>
    <x v="6"/>
    <x v="18"/>
    <x v="297"/>
    <x v="0"/>
    <x v="294"/>
    <x v="0"/>
    <x v="0"/>
    <x v="0"/>
  </r>
  <r>
    <x v="300"/>
    <x v="174"/>
    <x v="1"/>
    <x v="9"/>
    <x v="8"/>
    <x v="12"/>
    <x v="134"/>
    <x v="0"/>
    <x v="295"/>
    <x v="0"/>
    <x v="0"/>
    <x v="0"/>
  </r>
  <r>
    <x v="301"/>
    <x v="175"/>
    <x v="1"/>
    <x v="1"/>
    <x v="3"/>
    <x v="4"/>
    <x v="298"/>
    <x v="0"/>
    <x v="296"/>
    <x v="0"/>
    <x v="0"/>
    <x v="0"/>
  </r>
  <r>
    <x v="302"/>
    <x v="176"/>
    <x v="2"/>
    <x v="2"/>
    <x v="2"/>
    <x v="10"/>
    <x v="299"/>
    <x v="0"/>
    <x v="297"/>
    <x v="0"/>
    <x v="0"/>
    <x v="0"/>
  </r>
  <r>
    <x v="303"/>
    <x v="176"/>
    <x v="3"/>
    <x v="3"/>
    <x v="11"/>
    <x v="49"/>
    <x v="300"/>
    <x v="0"/>
    <x v="298"/>
    <x v="0"/>
    <x v="0"/>
    <x v="0"/>
  </r>
  <r>
    <x v="304"/>
    <x v="177"/>
    <x v="2"/>
    <x v="2"/>
    <x v="2"/>
    <x v="53"/>
    <x v="301"/>
    <x v="0"/>
    <x v="299"/>
    <x v="2"/>
    <x v="2"/>
    <x v="0"/>
  </r>
  <r>
    <x v="305"/>
    <x v="178"/>
    <x v="2"/>
    <x v="7"/>
    <x v="5"/>
    <x v="34"/>
    <x v="302"/>
    <x v="0"/>
    <x v="300"/>
    <x v="0"/>
    <x v="0"/>
    <x v="0"/>
  </r>
  <r>
    <x v="306"/>
    <x v="178"/>
    <x v="2"/>
    <x v="2"/>
    <x v="2"/>
    <x v="15"/>
    <x v="303"/>
    <x v="0"/>
    <x v="301"/>
    <x v="0"/>
    <x v="0"/>
    <x v="0"/>
  </r>
  <r>
    <x v="307"/>
    <x v="178"/>
    <x v="3"/>
    <x v="6"/>
    <x v="11"/>
    <x v="15"/>
    <x v="304"/>
    <x v="0"/>
    <x v="302"/>
    <x v="0"/>
    <x v="0"/>
    <x v="0"/>
  </r>
  <r>
    <x v="308"/>
    <x v="179"/>
    <x v="3"/>
    <x v="6"/>
    <x v="6"/>
    <x v="17"/>
    <x v="305"/>
    <x v="0"/>
    <x v="303"/>
    <x v="0"/>
    <x v="0"/>
    <x v="0"/>
  </r>
  <r>
    <x v="309"/>
    <x v="179"/>
    <x v="2"/>
    <x v="2"/>
    <x v="6"/>
    <x v="14"/>
    <x v="306"/>
    <x v="0"/>
    <x v="304"/>
    <x v="0"/>
    <x v="0"/>
    <x v="0"/>
  </r>
  <r>
    <x v="310"/>
    <x v="180"/>
    <x v="4"/>
    <x v="4"/>
    <x v="9"/>
    <x v="8"/>
    <x v="307"/>
    <x v="0"/>
    <x v="305"/>
    <x v="0"/>
    <x v="0"/>
    <x v="0"/>
  </r>
  <r>
    <x v="311"/>
    <x v="180"/>
    <x v="0"/>
    <x v="10"/>
    <x v="4"/>
    <x v="10"/>
    <x v="308"/>
    <x v="0"/>
    <x v="306"/>
    <x v="0"/>
    <x v="0"/>
    <x v="0"/>
  </r>
  <r>
    <x v="312"/>
    <x v="181"/>
    <x v="3"/>
    <x v="6"/>
    <x v="6"/>
    <x v="45"/>
    <x v="309"/>
    <x v="0"/>
    <x v="307"/>
    <x v="2"/>
    <x v="2"/>
    <x v="0"/>
  </r>
  <r>
    <x v="313"/>
    <x v="181"/>
    <x v="0"/>
    <x v="0"/>
    <x v="4"/>
    <x v="42"/>
    <x v="310"/>
    <x v="0"/>
    <x v="308"/>
    <x v="0"/>
    <x v="0"/>
    <x v="0"/>
  </r>
  <r>
    <x v="314"/>
    <x v="182"/>
    <x v="1"/>
    <x v="9"/>
    <x v="8"/>
    <x v="0"/>
    <x v="311"/>
    <x v="0"/>
    <x v="309"/>
    <x v="0"/>
    <x v="0"/>
    <x v="0"/>
  </r>
  <r>
    <x v="315"/>
    <x v="182"/>
    <x v="3"/>
    <x v="3"/>
    <x v="3"/>
    <x v="10"/>
    <x v="312"/>
    <x v="0"/>
    <x v="310"/>
    <x v="0"/>
    <x v="0"/>
    <x v="0"/>
  </r>
  <r>
    <x v="316"/>
    <x v="183"/>
    <x v="3"/>
    <x v="3"/>
    <x v="3"/>
    <x v="35"/>
    <x v="313"/>
    <x v="0"/>
    <x v="311"/>
    <x v="2"/>
    <x v="2"/>
    <x v="0"/>
  </r>
  <r>
    <x v="317"/>
    <x v="184"/>
    <x v="2"/>
    <x v="5"/>
    <x v="2"/>
    <x v="6"/>
    <x v="314"/>
    <x v="0"/>
    <x v="312"/>
    <x v="0"/>
    <x v="0"/>
    <x v="0"/>
  </r>
  <r>
    <x v="318"/>
    <x v="184"/>
    <x v="1"/>
    <x v="1"/>
    <x v="3"/>
    <x v="34"/>
    <x v="315"/>
    <x v="0"/>
    <x v="313"/>
    <x v="0"/>
    <x v="0"/>
    <x v="0"/>
  </r>
  <r>
    <x v="319"/>
    <x v="184"/>
    <x v="1"/>
    <x v="1"/>
    <x v="8"/>
    <x v="16"/>
    <x v="316"/>
    <x v="0"/>
    <x v="314"/>
    <x v="2"/>
    <x v="2"/>
    <x v="0"/>
  </r>
  <r>
    <x v="320"/>
    <x v="185"/>
    <x v="2"/>
    <x v="5"/>
    <x v="2"/>
    <x v="1"/>
    <x v="317"/>
    <x v="0"/>
    <x v="315"/>
    <x v="0"/>
    <x v="0"/>
    <x v="0"/>
  </r>
  <r>
    <x v="321"/>
    <x v="186"/>
    <x v="4"/>
    <x v="4"/>
    <x v="9"/>
    <x v="26"/>
    <x v="318"/>
    <x v="0"/>
    <x v="316"/>
    <x v="1"/>
    <x v="1"/>
    <x v="0"/>
  </r>
  <r>
    <x v="322"/>
    <x v="187"/>
    <x v="4"/>
    <x v="4"/>
    <x v="9"/>
    <x v="63"/>
    <x v="319"/>
    <x v="1"/>
    <x v="317"/>
    <x v="3"/>
    <x v="3"/>
    <x v="0"/>
  </r>
  <r>
    <x v="323"/>
    <x v="188"/>
    <x v="1"/>
    <x v="9"/>
    <x v="1"/>
    <x v="28"/>
    <x v="320"/>
    <x v="0"/>
    <x v="318"/>
    <x v="2"/>
    <x v="2"/>
    <x v="0"/>
  </r>
  <r>
    <x v="324"/>
    <x v="189"/>
    <x v="3"/>
    <x v="6"/>
    <x v="3"/>
    <x v="18"/>
    <x v="321"/>
    <x v="0"/>
    <x v="319"/>
    <x v="0"/>
    <x v="0"/>
    <x v="0"/>
  </r>
  <r>
    <x v="325"/>
    <x v="189"/>
    <x v="4"/>
    <x v="8"/>
    <x v="7"/>
    <x v="11"/>
    <x v="322"/>
    <x v="0"/>
    <x v="320"/>
    <x v="0"/>
    <x v="0"/>
    <x v="0"/>
  </r>
  <r>
    <x v="326"/>
    <x v="189"/>
    <x v="2"/>
    <x v="2"/>
    <x v="2"/>
    <x v="56"/>
    <x v="323"/>
    <x v="0"/>
    <x v="321"/>
    <x v="1"/>
    <x v="1"/>
    <x v="0"/>
  </r>
  <r>
    <x v="327"/>
    <x v="190"/>
    <x v="0"/>
    <x v="0"/>
    <x v="4"/>
    <x v="22"/>
    <x v="324"/>
    <x v="0"/>
    <x v="322"/>
    <x v="2"/>
    <x v="2"/>
    <x v="0"/>
  </r>
  <r>
    <x v="328"/>
    <x v="190"/>
    <x v="2"/>
    <x v="2"/>
    <x v="6"/>
    <x v="43"/>
    <x v="325"/>
    <x v="1"/>
    <x v="323"/>
    <x v="4"/>
    <x v="4"/>
    <x v="0"/>
  </r>
  <r>
    <x v="329"/>
    <x v="191"/>
    <x v="2"/>
    <x v="2"/>
    <x v="5"/>
    <x v="57"/>
    <x v="326"/>
    <x v="1"/>
    <x v="324"/>
    <x v="4"/>
    <x v="4"/>
    <x v="0"/>
  </r>
  <r>
    <x v="330"/>
    <x v="192"/>
    <x v="2"/>
    <x v="7"/>
    <x v="2"/>
    <x v="53"/>
    <x v="327"/>
    <x v="0"/>
    <x v="325"/>
    <x v="2"/>
    <x v="2"/>
    <x v="0"/>
  </r>
  <r>
    <x v="331"/>
    <x v="193"/>
    <x v="2"/>
    <x v="5"/>
    <x v="5"/>
    <x v="37"/>
    <x v="328"/>
    <x v="1"/>
    <x v="326"/>
    <x v="4"/>
    <x v="4"/>
    <x v="0"/>
  </r>
  <r>
    <x v="332"/>
    <x v="194"/>
    <x v="3"/>
    <x v="3"/>
    <x v="6"/>
    <x v="4"/>
    <x v="329"/>
    <x v="0"/>
    <x v="327"/>
    <x v="0"/>
    <x v="0"/>
    <x v="0"/>
  </r>
  <r>
    <x v="333"/>
    <x v="194"/>
    <x v="0"/>
    <x v="0"/>
    <x v="10"/>
    <x v="18"/>
    <x v="330"/>
    <x v="0"/>
    <x v="328"/>
    <x v="0"/>
    <x v="0"/>
    <x v="0"/>
  </r>
  <r>
    <x v="334"/>
    <x v="195"/>
    <x v="2"/>
    <x v="2"/>
    <x v="5"/>
    <x v="32"/>
    <x v="331"/>
    <x v="0"/>
    <x v="329"/>
    <x v="0"/>
    <x v="0"/>
    <x v="0"/>
  </r>
  <r>
    <x v="335"/>
    <x v="195"/>
    <x v="4"/>
    <x v="4"/>
    <x v="9"/>
    <x v="0"/>
    <x v="332"/>
    <x v="0"/>
    <x v="330"/>
    <x v="0"/>
    <x v="0"/>
    <x v="0"/>
  </r>
  <r>
    <x v="336"/>
    <x v="195"/>
    <x v="3"/>
    <x v="3"/>
    <x v="3"/>
    <x v="10"/>
    <x v="333"/>
    <x v="0"/>
    <x v="331"/>
    <x v="0"/>
    <x v="0"/>
    <x v="0"/>
  </r>
  <r>
    <x v="337"/>
    <x v="195"/>
    <x v="3"/>
    <x v="3"/>
    <x v="6"/>
    <x v="20"/>
    <x v="334"/>
    <x v="0"/>
    <x v="332"/>
    <x v="0"/>
    <x v="0"/>
    <x v="0"/>
  </r>
  <r>
    <x v="338"/>
    <x v="196"/>
    <x v="0"/>
    <x v="0"/>
    <x v="10"/>
    <x v="25"/>
    <x v="335"/>
    <x v="0"/>
    <x v="333"/>
    <x v="0"/>
    <x v="0"/>
    <x v="0"/>
  </r>
  <r>
    <x v="339"/>
    <x v="197"/>
    <x v="3"/>
    <x v="3"/>
    <x v="6"/>
    <x v="21"/>
    <x v="336"/>
    <x v="0"/>
    <x v="334"/>
    <x v="2"/>
    <x v="2"/>
    <x v="0"/>
  </r>
  <r>
    <x v="340"/>
    <x v="198"/>
    <x v="2"/>
    <x v="2"/>
    <x v="5"/>
    <x v="42"/>
    <x v="337"/>
    <x v="0"/>
    <x v="335"/>
    <x v="0"/>
    <x v="0"/>
    <x v="0"/>
  </r>
  <r>
    <x v="341"/>
    <x v="198"/>
    <x v="3"/>
    <x v="3"/>
    <x v="6"/>
    <x v="36"/>
    <x v="338"/>
    <x v="1"/>
    <x v="336"/>
    <x v="1"/>
    <x v="1"/>
    <x v="0"/>
  </r>
  <r>
    <x v="342"/>
    <x v="198"/>
    <x v="4"/>
    <x v="8"/>
    <x v="7"/>
    <x v="19"/>
    <x v="339"/>
    <x v="0"/>
    <x v="337"/>
    <x v="0"/>
    <x v="0"/>
    <x v="0"/>
  </r>
  <r>
    <x v="343"/>
    <x v="199"/>
    <x v="3"/>
    <x v="3"/>
    <x v="11"/>
    <x v="11"/>
    <x v="340"/>
    <x v="0"/>
    <x v="338"/>
    <x v="0"/>
    <x v="0"/>
    <x v="0"/>
  </r>
  <r>
    <x v="344"/>
    <x v="199"/>
    <x v="0"/>
    <x v="10"/>
    <x v="4"/>
    <x v="4"/>
    <x v="341"/>
    <x v="0"/>
    <x v="339"/>
    <x v="0"/>
    <x v="0"/>
    <x v="0"/>
  </r>
  <r>
    <x v="345"/>
    <x v="199"/>
    <x v="4"/>
    <x v="8"/>
    <x v="9"/>
    <x v="64"/>
    <x v="342"/>
    <x v="1"/>
    <x v="340"/>
    <x v="3"/>
    <x v="3"/>
    <x v="0"/>
  </r>
  <r>
    <x v="346"/>
    <x v="200"/>
    <x v="2"/>
    <x v="7"/>
    <x v="6"/>
    <x v="65"/>
    <x v="343"/>
    <x v="1"/>
    <x v="341"/>
    <x v="1"/>
    <x v="1"/>
    <x v="0"/>
  </r>
  <r>
    <x v="347"/>
    <x v="200"/>
    <x v="3"/>
    <x v="6"/>
    <x v="6"/>
    <x v="42"/>
    <x v="344"/>
    <x v="0"/>
    <x v="342"/>
    <x v="0"/>
    <x v="0"/>
    <x v="0"/>
  </r>
  <r>
    <x v="348"/>
    <x v="201"/>
    <x v="1"/>
    <x v="1"/>
    <x v="3"/>
    <x v="35"/>
    <x v="345"/>
    <x v="0"/>
    <x v="343"/>
    <x v="2"/>
    <x v="2"/>
    <x v="0"/>
  </r>
  <r>
    <x v="349"/>
    <x v="202"/>
    <x v="4"/>
    <x v="4"/>
    <x v="7"/>
    <x v="15"/>
    <x v="346"/>
    <x v="0"/>
    <x v="344"/>
    <x v="0"/>
    <x v="0"/>
    <x v="0"/>
  </r>
  <r>
    <x v="350"/>
    <x v="203"/>
    <x v="4"/>
    <x v="8"/>
    <x v="7"/>
    <x v="60"/>
    <x v="347"/>
    <x v="0"/>
    <x v="345"/>
    <x v="1"/>
    <x v="1"/>
    <x v="0"/>
  </r>
  <r>
    <x v="351"/>
    <x v="203"/>
    <x v="0"/>
    <x v="10"/>
    <x v="10"/>
    <x v="8"/>
    <x v="18"/>
    <x v="0"/>
    <x v="346"/>
    <x v="0"/>
    <x v="0"/>
    <x v="0"/>
  </r>
  <r>
    <x v="352"/>
    <x v="203"/>
    <x v="3"/>
    <x v="6"/>
    <x v="3"/>
    <x v="10"/>
    <x v="348"/>
    <x v="0"/>
    <x v="347"/>
    <x v="0"/>
    <x v="0"/>
    <x v="0"/>
  </r>
  <r>
    <x v="353"/>
    <x v="203"/>
    <x v="1"/>
    <x v="1"/>
    <x v="8"/>
    <x v="44"/>
    <x v="349"/>
    <x v="0"/>
    <x v="348"/>
    <x v="2"/>
    <x v="2"/>
    <x v="0"/>
  </r>
  <r>
    <x v="354"/>
    <x v="204"/>
    <x v="4"/>
    <x v="4"/>
    <x v="7"/>
    <x v="20"/>
    <x v="350"/>
    <x v="0"/>
    <x v="349"/>
    <x v="0"/>
    <x v="0"/>
    <x v="0"/>
  </r>
  <r>
    <x v="355"/>
    <x v="204"/>
    <x v="0"/>
    <x v="0"/>
    <x v="10"/>
    <x v="20"/>
    <x v="351"/>
    <x v="0"/>
    <x v="350"/>
    <x v="0"/>
    <x v="0"/>
    <x v="0"/>
  </r>
  <r>
    <x v="356"/>
    <x v="204"/>
    <x v="1"/>
    <x v="1"/>
    <x v="1"/>
    <x v="11"/>
    <x v="352"/>
    <x v="0"/>
    <x v="351"/>
    <x v="0"/>
    <x v="0"/>
    <x v="0"/>
  </r>
  <r>
    <x v="357"/>
    <x v="205"/>
    <x v="1"/>
    <x v="9"/>
    <x v="8"/>
    <x v="11"/>
    <x v="353"/>
    <x v="0"/>
    <x v="352"/>
    <x v="0"/>
    <x v="0"/>
    <x v="0"/>
  </r>
  <r>
    <x v="358"/>
    <x v="206"/>
    <x v="2"/>
    <x v="7"/>
    <x v="5"/>
    <x v="49"/>
    <x v="354"/>
    <x v="0"/>
    <x v="353"/>
    <x v="0"/>
    <x v="0"/>
    <x v="0"/>
  </r>
  <r>
    <x v="359"/>
    <x v="206"/>
    <x v="1"/>
    <x v="1"/>
    <x v="8"/>
    <x v="12"/>
    <x v="355"/>
    <x v="0"/>
    <x v="354"/>
    <x v="0"/>
    <x v="0"/>
    <x v="0"/>
  </r>
  <r>
    <x v="360"/>
    <x v="206"/>
    <x v="4"/>
    <x v="8"/>
    <x v="9"/>
    <x v="66"/>
    <x v="356"/>
    <x v="1"/>
    <x v="355"/>
    <x v="4"/>
    <x v="4"/>
    <x v="0"/>
  </r>
  <r>
    <x v="361"/>
    <x v="207"/>
    <x v="2"/>
    <x v="5"/>
    <x v="2"/>
    <x v="29"/>
    <x v="357"/>
    <x v="1"/>
    <x v="66"/>
    <x v="1"/>
    <x v="1"/>
    <x v="0"/>
  </r>
  <r>
    <x v="362"/>
    <x v="207"/>
    <x v="2"/>
    <x v="7"/>
    <x v="5"/>
    <x v="4"/>
    <x v="358"/>
    <x v="0"/>
    <x v="356"/>
    <x v="0"/>
    <x v="0"/>
    <x v="0"/>
  </r>
  <r>
    <x v="363"/>
    <x v="208"/>
    <x v="4"/>
    <x v="4"/>
    <x v="7"/>
    <x v="7"/>
    <x v="359"/>
    <x v="0"/>
    <x v="357"/>
    <x v="1"/>
    <x v="1"/>
    <x v="0"/>
  </r>
  <r>
    <x v="364"/>
    <x v="208"/>
    <x v="2"/>
    <x v="2"/>
    <x v="5"/>
    <x v="51"/>
    <x v="360"/>
    <x v="0"/>
    <x v="358"/>
    <x v="1"/>
    <x v="1"/>
    <x v="0"/>
  </r>
  <r>
    <x v="365"/>
    <x v="209"/>
    <x v="2"/>
    <x v="5"/>
    <x v="2"/>
    <x v="37"/>
    <x v="361"/>
    <x v="1"/>
    <x v="359"/>
    <x v="4"/>
    <x v="4"/>
    <x v="0"/>
  </r>
  <r>
    <x v="366"/>
    <x v="210"/>
    <x v="2"/>
    <x v="5"/>
    <x v="6"/>
    <x v="9"/>
    <x v="362"/>
    <x v="1"/>
    <x v="360"/>
    <x v="1"/>
    <x v="1"/>
    <x v="0"/>
  </r>
  <r>
    <x v="367"/>
    <x v="210"/>
    <x v="3"/>
    <x v="3"/>
    <x v="6"/>
    <x v="0"/>
    <x v="363"/>
    <x v="0"/>
    <x v="361"/>
    <x v="0"/>
    <x v="0"/>
    <x v="0"/>
  </r>
  <r>
    <x v="368"/>
    <x v="211"/>
    <x v="1"/>
    <x v="1"/>
    <x v="8"/>
    <x v="20"/>
    <x v="364"/>
    <x v="1"/>
    <x v="362"/>
    <x v="0"/>
    <x v="0"/>
    <x v="0"/>
  </r>
  <r>
    <x v="369"/>
    <x v="212"/>
    <x v="2"/>
    <x v="5"/>
    <x v="6"/>
    <x v="33"/>
    <x v="365"/>
    <x v="0"/>
    <x v="363"/>
    <x v="2"/>
    <x v="2"/>
    <x v="0"/>
  </r>
  <r>
    <x v="370"/>
    <x v="213"/>
    <x v="3"/>
    <x v="3"/>
    <x v="6"/>
    <x v="18"/>
    <x v="366"/>
    <x v="0"/>
    <x v="364"/>
    <x v="0"/>
    <x v="0"/>
    <x v="0"/>
  </r>
  <r>
    <x v="371"/>
    <x v="214"/>
    <x v="4"/>
    <x v="8"/>
    <x v="4"/>
    <x v="49"/>
    <x v="367"/>
    <x v="0"/>
    <x v="365"/>
    <x v="0"/>
    <x v="0"/>
    <x v="0"/>
  </r>
  <r>
    <x v="372"/>
    <x v="215"/>
    <x v="2"/>
    <x v="7"/>
    <x v="6"/>
    <x v="20"/>
    <x v="368"/>
    <x v="0"/>
    <x v="366"/>
    <x v="0"/>
    <x v="0"/>
    <x v="0"/>
  </r>
  <r>
    <x v="373"/>
    <x v="215"/>
    <x v="1"/>
    <x v="1"/>
    <x v="3"/>
    <x v="22"/>
    <x v="369"/>
    <x v="0"/>
    <x v="367"/>
    <x v="2"/>
    <x v="2"/>
    <x v="0"/>
  </r>
  <r>
    <x v="374"/>
    <x v="216"/>
    <x v="4"/>
    <x v="4"/>
    <x v="7"/>
    <x v="19"/>
    <x v="370"/>
    <x v="0"/>
    <x v="368"/>
    <x v="0"/>
    <x v="0"/>
    <x v="0"/>
  </r>
  <r>
    <x v="375"/>
    <x v="216"/>
    <x v="0"/>
    <x v="10"/>
    <x v="4"/>
    <x v="65"/>
    <x v="371"/>
    <x v="1"/>
    <x v="369"/>
    <x v="1"/>
    <x v="1"/>
    <x v="0"/>
  </r>
  <r>
    <x v="376"/>
    <x v="217"/>
    <x v="0"/>
    <x v="0"/>
    <x v="10"/>
    <x v="67"/>
    <x v="372"/>
    <x v="1"/>
    <x v="370"/>
    <x v="1"/>
    <x v="1"/>
    <x v="0"/>
  </r>
  <r>
    <x v="377"/>
    <x v="217"/>
    <x v="1"/>
    <x v="9"/>
    <x v="8"/>
    <x v="13"/>
    <x v="373"/>
    <x v="1"/>
    <x v="371"/>
    <x v="0"/>
    <x v="0"/>
    <x v="0"/>
  </r>
  <r>
    <x v="378"/>
    <x v="218"/>
    <x v="3"/>
    <x v="6"/>
    <x v="6"/>
    <x v="0"/>
    <x v="374"/>
    <x v="0"/>
    <x v="372"/>
    <x v="0"/>
    <x v="0"/>
    <x v="0"/>
  </r>
  <r>
    <x v="379"/>
    <x v="219"/>
    <x v="1"/>
    <x v="9"/>
    <x v="8"/>
    <x v="21"/>
    <x v="375"/>
    <x v="0"/>
    <x v="373"/>
    <x v="2"/>
    <x v="2"/>
    <x v="0"/>
  </r>
  <r>
    <x v="380"/>
    <x v="220"/>
    <x v="4"/>
    <x v="8"/>
    <x v="9"/>
    <x v="13"/>
    <x v="376"/>
    <x v="0"/>
    <x v="374"/>
    <x v="0"/>
    <x v="0"/>
    <x v="0"/>
  </r>
  <r>
    <x v="381"/>
    <x v="221"/>
    <x v="2"/>
    <x v="5"/>
    <x v="6"/>
    <x v="51"/>
    <x v="377"/>
    <x v="0"/>
    <x v="375"/>
    <x v="1"/>
    <x v="1"/>
    <x v="0"/>
  </r>
  <r>
    <x v="382"/>
    <x v="221"/>
    <x v="2"/>
    <x v="7"/>
    <x v="2"/>
    <x v="55"/>
    <x v="378"/>
    <x v="1"/>
    <x v="376"/>
    <x v="4"/>
    <x v="4"/>
    <x v="0"/>
  </r>
  <r>
    <x v="383"/>
    <x v="221"/>
    <x v="2"/>
    <x v="7"/>
    <x v="5"/>
    <x v="53"/>
    <x v="379"/>
    <x v="0"/>
    <x v="377"/>
    <x v="2"/>
    <x v="2"/>
    <x v="0"/>
  </r>
  <r>
    <x v="384"/>
    <x v="221"/>
    <x v="0"/>
    <x v="0"/>
    <x v="0"/>
    <x v="22"/>
    <x v="380"/>
    <x v="0"/>
    <x v="378"/>
    <x v="2"/>
    <x v="2"/>
    <x v="0"/>
  </r>
  <r>
    <x v="385"/>
    <x v="222"/>
    <x v="1"/>
    <x v="1"/>
    <x v="3"/>
    <x v="11"/>
    <x v="381"/>
    <x v="0"/>
    <x v="379"/>
    <x v="0"/>
    <x v="0"/>
    <x v="0"/>
  </r>
  <r>
    <x v="386"/>
    <x v="222"/>
    <x v="3"/>
    <x v="6"/>
    <x v="6"/>
    <x v="18"/>
    <x v="247"/>
    <x v="0"/>
    <x v="380"/>
    <x v="0"/>
    <x v="0"/>
    <x v="0"/>
  </r>
  <r>
    <x v="387"/>
    <x v="222"/>
    <x v="1"/>
    <x v="1"/>
    <x v="8"/>
    <x v="32"/>
    <x v="382"/>
    <x v="1"/>
    <x v="381"/>
    <x v="0"/>
    <x v="0"/>
    <x v="0"/>
  </r>
  <r>
    <x v="388"/>
    <x v="222"/>
    <x v="2"/>
    <x v="2"/>
    <x v="2"/>
    <x v="4"/>
    <x v="383"/>
    <x v="0"/>
    <x v="382"/>
    <x v="0"/>
    <x v="0"/>
    <x v="0"/>
  </r>
  <r>
    <x v="389"/>
    <x v="223"/>
    <x v="2"/>
    <x v="7"/>
    <x v="2"/>
    <x v="4"/>
    <x v="384"/>
    <x v="0"/>
    <x v="383"/>
    <x v="0"/>
    <x v="0"/>
    <x v="0"/>
  </r>
  <r>
    <x v="390"/>
    <x v="223"/>
    <x v="4"/>
    <x v="4"/>
    <x v="9"/>
    <x v="48"/>
    <x v="385"/>
    <x v="0"/>
    <x v="384"/>
    <x v="1"/>
    <x v="1"/>
    <x v="0"/>
  </r>
  <r>
    <x v="391"/>
    <x v="224"/>
    <x v="4"/>
    <x v="4"/>
    <x v="9"/>
    <x v="34"/>
    <x v="386"/>
    <x v="0"/>
    <x v="385"/>
    <x v="0"/>
    <x v="0"/>
    <x v="0"/>
  </r>
  <r>
    <x v="392"/>
    <x v="224"/>
    <x v="1"/>
    <x v="9"/>
    <x v="8"/>
    <x v="53"/>
    <x v="387"/>
    <x v="0"/>
    <x v="386"/>
    <x v="2"/>
    <x v="2"/>
    <x v="0"/>
  </r>
  <r>
    <x v="393"/>
    <x v="224"/>
    <x v="4"/>
    <x v="4"/>
    <x v="9"/>
    <x v="13"/>
    <x v="388"/>
    <x v="0"/>
    <x v="387"/>
    <x v="0"/>
    <x v="0"/>
    <x v="0"/>
  </r>
  <r>
    <x v="394"/>
    <x v="225"/>
    <x v="1"/>
    <x v="1"/>
    <x v="3"/>
    <x v="22"/>
    <x v="389"/>
    <x v="0"/>
    <x v="388"/>
    <x v="2"/>
    <x v="2"/>
    <x v="0"/>
  </r>
  <r>
    <x v="395"/>
    <x v="225"/>
    <x v="2"/>
    <x v="2"/>
    <x v="2"/>
    <x v="9"/>
    <x v="390"/>
    <x v="1"/>
    <x v="389"/>
    <x v="1"/>
    <x v="1"/>
    <x v="0"/>
  </r>
  <r>
    <x v="396"/>
    <x v="226"/>
    <x v="4"/>
    <x v="4"/>
    <x v="4"/>
    <x v="13"/>
    <x v="391"/>
    <x v="0"/>
    <x v="390"/>
    <x v="0"/>
    <x v="0"/>
    <x v="0"/>
  </r>
  <r>
    <x v="397"/>
    <x v="227"/>
    <x v="3"/>
    <x v="3"/>
    <x v="3"/>
    <x v="48"/>
    <x v="392"/>
    <x v="1"/>
    <x v="391"/>
    <x v="1"/>
    <x v="1"/>
    <x v="0"/>
  </r>
  <r>
    <x v="398"/>
    <x v="228"/>
    <x v="3"/>
    <x v="6"/>
    <x v="3"/>
    <x v="11"/>
    <x v="207"/>
    <x v="0"/>
    <x v="206"/>
    <x v="0"/>
    <x v="0"/>
    <x v="0"/>
  </r>
  <r>
    <x v="399"/>
    <x v="229"/>
    <x v="5"/>
    <x v="11"/>
    <x v="12"/>
    <x v="68"/>
    <x v="393"/>
    <x v="2"/>
    <x v="392"/>
    <x v="5"/>
    <x v="5"/>
    <x v="1"/>
  </r>
  <r>
    <x v="400"/>
    <x v="229"/>
    <x v="5"/>
    <x v="11"/>
    <x v="12"/>
    <x v="68"/>
    <x v="393"/>
    <x v="2"/>
    <x v="392"/>
    <x v="5"/>
    <x v="5"/>
    <x v="1"/>
  </r>
  <r>
    <x v="401"/>
    <x v="229"/>
    <x v="5"/>
    <x v="11"/>
    <x v="12"/>
    <x v="68"/>
    <x v="393"/>
    <x v="2"/>
    <x v="392"/>
    <x v="5"/>
    <x v="5"/>
    <x v="1"/>
  </r>
  <r>
    <x v="402"/>
    <x v="229"/>
    <x v="5"/>
    <x v="11"/>
    <x v="12"/>
    <x v="68"/>
    <x v="393"/>
    <x v="2"/>
    <x v="392"/>
    <x v="5"/>
    <x v="5"/>
    <x v="1"/>
  </r>
  <r>
    <x v="403"/>
    <x v="229"/>
    <x v="5"/>
    <x v="11"/>
    <x v="12"/>
    <x v="68"/>
    <x v="393"/>
    <x v="2"/>
    <x v="392"/>
    <x v="5"/>
    <x v="5"/>
    <x v="1"/>
  </r>
</pivotCacheRecords>
</file>

<file path=xl/pivotCache/pivotCacheRecords7.xml><?xml version="1.0" encoding="utf-8"?>
<pivotCacheRecords xmlns:r="http://schemas.openxmlformats.org/officeDocument/2006/relationships" xmlns="http://schemas.openxmlformats.org/spreadsheetml/2006/main" count="404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0"/>
    <x v="0"/>
  </r>
  <r>
    <x v="2"/>
    <x v="1"/>
    <x v="2"/>
    <x v="2"/>
    <x v="2"/>
    <x v="2"/>
    <x v="2"/>
    <x v="0"/>
    <x v="2"/>
    <x v="1"/>
    <x v="1"/>
    <x v="0"/>
  </r>
  <r>
    <x v="3"/>
    <x v="1"/>
    <x v="3"/>
    <x v="3"/>
    <x v="3"/>
    <x v="3"/>
    <x v="3"/>
    <x v="1"/>
    <x v="3"/>
    <x v="1"/>
    <x v="1"/>
    <x v="0"/>
  </r>
  <r>
    <x v="4"/>
    <x v="2"/>
    <x v="4"/>
    <x v="4"/>
    <x v="4"/>
    <x v="4"/>
    <x v="4"/>
    <x v="0"/>
    <x v="4"/>
    <x v="0"/>
    <x v="0"/>
    <x v="0"/>
  </r>
  <r>
    <x v="5"/>
    <x v="3"/>
    <x v="2"/>
    <x v="5"/>
    <x v="5"/>
    <x v="5"/>
    <x v="5"/>
    <x v="0"/>
    <x v="5"/>
    <x v="2"/>
    <x v="2"/>
    <x v="0"/>
  </r>
  <r>
    <x v="6"/>
    <x v="4"/>
    <x v="2"/>
    <x v="5"/>
    <x v="2"/>
    <x v="4"/>
    <x v="6"/>
    <x v="0"/>
    <x v="6"/>
    <x v="0"/>
    <x v="0"/>
    <x v="0"/>
  </r>
  <r>
    <x v="7"/>
    <x v="5"/>
    <x v="3"/>
    <x v="6"/>
    <x v="6"/>
    <x v="6"/>
    <x v="7"/>
    <x v="0"/>
    <x v="7"/>
    <x v="0"/>
    <x v="0"/>
    <x v="0"/>
  </r>
  <r>
    <x v="8"/>
    <x v="5"/>
    <x v="2"/>
    <x v="7"/>
    <x v="2"/>
    <x v="0"/>
    <x v="8"/>
    <x v="0"/>
    <x v="8"/>
    <x v="0"/>
    <x v="0"/>
    <x v="0"/>
  </r>
  <r>
    <x v="9"/>
    <x v="6"/>
    <x v="4"/>
    <x v="8"/>
    <x v="7"/>
    <x v="7"/>
    <x v="9"/>
    <x v="0"/>
    <x v="9"/>
    <x v="1"/>
    <x v="1"/>
    <x v="0"/>
  </r>
  <r>
    <x v="10"/>
    <x v="6"/>
    <x v="4"/>
    <x v="8"/>
    <x v="7"/>
    <x v="2"/>
    <x v="10"/>
    <x v="0"/>
    <x v="10"/>
    <x v="1"/>
    <x v="1"/>
    <x v="0"/>
  </r>
  <r>
    <x v="11"/>
    <x v="7"/>
    <x v="1"/>
    <x v="9"/>
    <x v="8"/>
    <x v="8"/>
    <x v="11"/>
    <x v="0"/>
    <x v="11"/>
    <x v="0"/>
    <x v="0"/>
    <x v="0"/>
  </r>
  <r>
    <x v="12"/>
    <x v="8"/>
    <x v="2"/>
    <x v="7"/>
    <x v="2"/>
    <x v="9"/>
    <x v="12"/>
    <x v="1"/>
    <x v="12"/>
    <x v="1"/>
    <x v="1"/>
    <x v="0"/>
  </r>
  <r>
    <x v="13"/>
    <x v="8"/>
    <x v="1"/>
    <x v="9"/>
    <x v="1"/>
    <x v="10"/>
    <x v="13"/>
    <x v="0"/>
    <x v="13"/>
    <x v="0"/>
    <x v="0"/>
    <x v="0"/>
  </r>
  <r>
    <x v="14"/>
    <x v="9"/>
    <x v="1"/>
    <x v="9"/>
    <x v="8"/>
    <x v="11"/>
    <x v="14"/>
    <x v="0"/>
    <x v="14"/>
    <x v="0"/>
    <x v="0"/>
    <x v="0"/>
  </r>
  <r>
    <x v="15"/>
    <x v="9"/>
    <x v="1"/>
    <x v="1"/>
    <x v="8"/>
    <x v="12"/>
    <x v="15"/>
    <x v="0"/>
    <x v="15"/>
    <x v="0"/>
    <x v="0"/>
    <x v="0"/>
  </r>
  <r>
    <x v="16"/>
    <x v="10"/>
    <x v="2"/>
    <x v="7"/>
    <x v="6"/>
    <x v="13"/>
    <x v="16"/>
    <x v="0"/>
    <x v="16"/>
    <x v="0"/>
    <x v="0"/>
    <x v="0"/>
  </r>
  <r>
    <x v="17"/>
    <x v="10"/>
    <x v="4"/>
    <x v="8"/>
    <x v="9"/>
    <x v="14"/>
    <x v="17"/>
    <x v="0"/>
    <x v="17"/>
    <x v="0"/>
    <x v="0"/>
    <x v="0"/>
  </r>
  <r>
    <x v="18"/>
    <x v="10"/>
    <x v="3"/>
    <x v="6"/>
    <x v="6"/>
    <x v="15"/>
    <x v="18"/>
    <x v="0"/>
    <x v="18"/>
    <x v="0"/>
    <x v="0"/>
    <x v="0"/>
  </r>
  <r>
    <x v="19"/>
    <x v="11"/>
    <x v="2"/>
    <x v="5"/>
    <x v="5"/>
    <x v="6"/>
    <x v="19"/>
    <x v="0"/>
    <x v="19"/>
    <x v="0"/>
    <x v="0"/>
    <x v="0"/>
  </r>
  <r>
    <x v="20"/>
    <x v="12"/>
    <x v="0"/>
    <x v="10"/>
    <x v="4"/>
    <x v="13"/>
    <x v="20"/>
    <x v="0"/>
    <x v="20"/>
    <x v="0"/>
    <x v="0"/>
    <x v="0"/>
  </r>
  <r>
    <x v="21"/>
    <x v="12"/>
    <x v="0"/>
    <x v="10"/>
    <x v="10"/>
    <x v="2"/>
    <x v="21"/>
    <x v="0"/>
    <x v="21"/>
    <x v="1"/>
    <x v="1"/>
    <x v="0"/>
  </r>
  <r>
    <x v="22"/>
    <x v="13"/>
    <x v="1"/>
    <x v="1"/>
    <x v="3"/>
    <x v="16"/>
    <x v="22"/>
    <x v="0"/>
    <x v="22"/>
    <x v="2"/>
    <x v="2"/>
    <x v="0"/>
  </r>
  <r>
    <x v="23"/>
    <x v="13"/>
    <x v="2"/>
    <x v="7"/>
    <x v="2"/>
    <x v="3"/>
    <x v="23"/>
    <x v="0"/>
    <x v="23"/>
    <x v="1"/>
    <x v="1"/>
    <x v="0"/>
  </r>
  <r>
    <x v="24"/>
    <x v="13"/>
    <x v="1"/>
    <x v="1"/>
    <x v="1"/>
    <x v="17"/>
    <x v="24"/>
    <x v="0"/>
    <x v="24"/>
    <x v="0"/>
    <x v="0"/>
    <x v="0"/>
  </r>
  <r>
    <x v="25"/>
    <x v="13"/>
    <x v="3"/>
    <x v="6"/>
    <x v="11"/>
    <x v="18"/>
    <x v="25"/>
    <x v="0"/>
    <x v="25"/>
    <x v="0"/>
    <x v="0"/>
    <x v="0"/>
  </r>
  <r>
    <x v="26"/>
    <x v="14"/>
    <x v="0"/>
    <x v="10"/>
    <x v="4"/>
    <x v="18"/>
    <x v="26"/>
    <x v="0"/>
    <x v="26"/>
    <x v="0"/>
    <x v="0"/>
    <x v="0"/>
  </r>
  <r>
    <x v="27"/>
    <x v="14"/>
    <x v="3"/>
    <x v="6"/>
    <x v="6"/>
    <x v="19"/>
    <x v="27"/>
    <x v="0"/>
    <x v="27"/>
    <x v="0"/>
    <x v="0"/>
    <x v="0"/>
  </r>
  <r>
    <x v="28"/>
    <x v="15"/>
    <x v="2"/>
    <x v="5"/>
    <x v="5"/>
    <x v="20"/>
    <x v="28"/>
    <x v="0"/>
    <x v="28"/>
    <x v="0"/>
    <x v="0"/>
    <x v="0"/>
  </r>
  <r>
    <x v="29"/>
    <x v="15"/>
    <x v="2"/>
    <x v="7"/>
    <x v="5"/>
    <x v="21"/>
    <x v="29"/>
    <x v="0"/>
    <x v="29"/>
    <x v="2"/>
    <x v="2"/>
    <x v="0"/>
  </r>
  <r>
    <x v="30"/>
    <x v="15"/>
    <x v="1"/>
    <x v="9"/>
    <x v="1"/>
    <x v="10"/>
    <x v="30"/>
    <x v="0"/>
    <x v="30"/>
    <x v="0"/>
    <x v="0"/>
    <x v="0"/>
  </r>
  <r>
    <x v="31"/>
    <x v="16"/>
    <x v="1"/>
    <x v="9"/>
    <x v="1"/>
    <x v="0"/>
    <x v="31"/>
    <x v="0"/>
    <x v="31"/>
    <x v="0"/>
    <x v="0"/>
    <x v="0"/>
  </r>
  <r>
    <x v="32"/>
    <x v="16"/>
    <x v="3"/>
    <x v="6"/>
    <x v="6"/>
    <x v="5"/>
    <x v="32"/>
    <x v="0"/>
    <x v="32"/>
    <x v="2"/>
    <x v="2"/>
    <x v="0"/>
  </r>
  <r>
    <x v="33"/>
    <x v="17"/>
    <x v="1"/>
    <x v="1"/>
    <x v="1"/>
    <x v="22"/>
    <x v="33"/>
    <x v="0"/>
    <x v="33"/>
    <x v="2"/>
    <x v="2"/>
    <x v="0"/>
  </r>
  <r>
    <x v="34"/>
    <x v="18"/>
    <x v="2"/>
    <x v="2"/>
    <x v="6"/>
    <x v="18"/>
    <x v="34"/>
    <x v="0"/>
    <x v="34"/>
    <x v="0"/>
    <x v="0"/>
    <x v="0"/>
  </r>
  <r>
    <x v="35"/>
    <x v="19"/>
    <x v="0"/>
    <x v="10"/>
    <x v="4"/>
    <x v="19"/>
    <x v="35"/>
    <x v="0"/>
    <x v="35"/>
    <x v="0"/>
    <x v="0"/>
    <x v="0"/>
  </r>
  <r>
    <x v="36"/>
    <x v="20"/>
    <x v="4"/>
    <x v="4"/>
    <x v="7"/>
    <x v="1"/>
    <x v="36"/>
    <x v="0"/>
    <x v="36"/>
    <x v="0"/>
    <x v="0"/>
    <x v="0"/>
  </r>
  <r>
    <x v="37"/>
    <x v="20"/>
    <x v="1"/>
    <x v="1"/>
    <x v="8"/>
    <x v="23"/>
    <x v="37"/>
    <x v="0"/>
    <x v="37"/>
    <x v="2"/>
    <x v="2"/>
    <x v="0"/>
  </r>
  <r>
    <x v="38"/>
    <x v="20"/>
    <x v="3"/>
    <x v="3"/>
    <x v="3"/>
    <x v="14"/>
    <x v="38"/>
    <x v="0"/>
    <x v="38"/>
    <x v="0"/>
    <x v="0"/>
    <x v="0"/>
  </r>
  <r>
    <x v="39"/>
    <x v="20"/>
    <x v="4"/>
    <x v="8"/>
    <x v="4"/>
    <x v="24"/>
    <x v="39"/>
    <x v="0"/>
    <x v="39"/>
    <x v="1"/>
    <x v="1"/>
    <x v="0"/>
  </r>
  <r>
    <x v="40"/>
    <x v="20"/>
    <x v="2"/>
    <x v="2"/>
    <x v="6"/>
    <x v="15"/>
    <x v="40"/>
    <x v="0"/>
    <x v="40"/>
    <x v="0"/>
    <x v="0"/>
    <x v="0"/>
  </r>
  <r>
    <x v="41"/>
    <x v="21"/>
    <x v="1"/>
    <x v="1"/>
    <x v="8"/>
    <x v="23"/>
    <x v="41"/>
    <x v="0"/>
    <x v="41"/>
    <x v="2"/>
    <x v="2"/>
    <x v="0"/>
  </r>
  <r>
    <x v="42"/>
    <x v="22"/>
    <x v="0"/>
    <x v="10"/>
    <x v="10"/>
    <x v="25"/>
    <x v="42"/>
    <x v="0"/>
    <x v="42"/>
    <x v="0"/>
    <x v="0"/>
    <x v="0"/>
  </r>
  <r>
    <x v="43"/>
    <x v="22"/>
    <x v="2"/>
    <x v="2"/>
    <x v="6"/>
    <x v="15"/>
    <x v="43"/>
    <x v="0"/>
    <x v="43"/>
    <x v="0"/>
    <x v="0"/>
    <x v="0"/>
  </r>
  <r>
    <x v="44"/>
    <x v="22"/>
    <x v="2"/>
    <x v="7"/>
    <x v="5"/>
    <x v="11"/>
    <x v="44"/>
    <x v="0"/>
    <x v="44"/>
    <x v="0"/>
    <x v="0"/>
    <x v="0"/>
  </r>
  <r>
    <x v="45"/>
    <x v="22"/>
    <x v="2"/>
    <x v="7"/>
    <x v="6"/>
    <x v="2"/>
    <x v="45"/>
    <x v="0"/>
    <x v="45"/>
    <x v="1"/>
    <x v="1"/>
    <x v="0"/>
  </r>
  <r>
    <x v="46"/>
    <x v="23"/>
    <x v="2"/>
    <x v="7"/>
    <x v="2"/>
    <x v="26"/>
    <x v="46"/>
    <x v="0"/>
    <x v="46"/>
    <x v="1"/>
    <x v="1"/>
    <x v="0"/>
  </r>
  <r>
    <x v="47"/>
    <x v="23"/>
    <x v="0"/>
    <x v="10"/>
    <x v="10"/>
    <x v="24"/>
    <x v="47"/>
    <x v="1"/>
    <x v="47"/>
    <x v="1"/>
    <x v="1"/>
    <x v="0"/>
  </r>
  <r>
    <x v="48"/>
    <x v="24"/>
    <x v="3"/>
    <x v="3"/>
    <x v="3"/>
    <x v="6"/>
    <x v="48"/>
    <x v="0"/>
    <x v="48"/>
    <x v="0"/>
    <x v="0"/>
    <x v="0"/>
  </r>
  <r>
    <x v="49"/>
    <x v="24"/>
    <x v="2"/>
    <x v="5"/>
    <x v="5"/>
    <x v="27"/>
    <x v="49"/>
    <x v="0"/>
    <x v="49"/>
    <x v="1"/>
    <x v="1"/>
    <x v="0"/>
  </r>
  <r>
    <x v="50"/>
    <x v="24"/>
    <x v="2"/>
    <x v="7"/>
    <x v="6"/>
    <x v="16"/>
    <x v="50"/>
    <x v="0"/>
    <x v="50"/>
    <x v="2"/>
    <x v="2"/>
    <x v="0"/>
  </r>
  <r>
    <x v="51"/>
    <x v="25"/>
    <x v="2"/>
    <x v="7"/>
    <x v="6"/>
    <x v="13"/>
    <x v="51"/>
    <x v="0"/>
    <x v="51"/>
    <x v="0"/>
    <x v="0"/>
    <x v="0"/>
  </r>
  <r>
    <x v="52"/>
    <x v="26"/>
    <x v="0"/>
    <x v="0"/>
    <x v="0"/>
    <x v="28"/>
    <x v="52"/>
    <x v="0"/>
    <x v="52"/>
    <x v="2"/>
    <x v="2"/>
    <x v="0"/>
  </r>
  <r>
    <x v="53"/>
    <x v="26"/>
    <x v="3"/>
    <x v="6"/>
    <x v="3"/>
    <x v="5"/>
    <x v="53"/>
    <x v="0"/>
    <x v="53"/>
    <x v="2"/>
    <x v="2"/>
    <x v="0"/>
  </r>
  <r>
    <x v="54"/>
    <x v="27"/>
    <x v="3"/>
    <x v="6"/>
    <x v="6"/>
    <x v="22"/>
    <x v="54"/>
    <x v="0"/>
    <x v="54"/>
    <x v="2"/>
    <x v="2"/>
    <x v="0"/>
  </r>
  <r>
    <x v="55"/>
    <x v="27"/>
    <x v="2"/>
    <x v="2"/>
    <x v="5"/>
    <x v="29"/>
    <x v="55"/>
    <x v="1"/>
    <x v="55"/>
    <x v="1"/>
    <x v="1"/>
    <x v="0"/>
  </r>
  <r>
    <x v="56"/>
    <x v="28"/>
    <x v="2"/>
    <x v="2"/>
    <x v="5"/>
    <x v="30"/>
    <x v="56"/>
    <x v="1"/>
    <x v="56"/>
    <x v="1"/>
    <x v="1"/>
    <x v="0"/>
  </r>
  <r>
    <x v="57"/>
    <x v="28"/>
    <x v="0"/>
    <x v="10"/>
    <x v="0"/>
    <x v="23"/>
    <x v="57"/>
    <x v="0"/>
    <x v="57"/>
    <x v="2"/>
    <x v="2"/>
    <x v="0"/>
  </r>
  <r>
    <x v="58"/>
    <x v="29"/>
    <x v="1"/>
    <x v="1"/>
    <x v="8"/>
    <x v="6"/>
    <x v="58"/>
    <x v="0"/>
    <x v="58"/>
    <x v="0"/>
    <x v="0"/>
    <x v="0"/>
  </r>
  <r>
    <x v="59"/>
    <x v="30"/>
    <x v="2"/>
    <x v="2"/>
    <x v="5"/>
    <x v="4"/>
    <x v="59"/>
    <x v="0"/>
    <x v="59"/>
    <x v="0"/>
    <x v="0"/>
    <x v="0"/>
  </r>
  <r>
    <x v="60"/>
    <x v="30"/>
    <x v="4"/>
    <x v="8"/>
    <x v="4"/>
    <x v="31"/>
    <x v="60"/>
    <x v="1"/>
    <x v="60"/>
    <x v="3"/>
    <x v="3"/>
    <x v="0"/>
  </r>
  <r>
    <x v="61"/>
    <x v="31"/>
    <x v="3"/>
    <x v="6"/>
    <x v="3"/>
    <x v="11"/>
    <x v="61"/>
    <x v="0"/>
    <x v="61"/>
    <x v="0"/>
    <x v="0"/>
    <x v="0"/>
  </r>
  <r>
    <x v="62"/>
    <x v="32"/>
    <x v="0"/>
    <x v="0"/>
    <x v="4"/>
    <x v="10"/>
    <x v="62"/>
    <x v="0"/>
    <x v="62"/>
    <x v="0"/>
    <x v="0"/>
    <x v="0"/>
  </r>
  <r>
    <x v="63"/>
    <x v="33"/>
    <x v="3"/>
    <x v="3"/>
    <x v="6"/>
    <x v="16"/>
    <x v="63"/>
    <x v="0"/>
    <x v="63"/>
    <x v="2"/>
    <x v="2"/>
    <x v="0"/>
  </r>
  <r>
    <x v="64"/>
    <x v="33"/>
    <x v="2"/>
    <x v="5"/>
    <x v="2"/>
    <x v="32"/>
    <x v="64"/>
    <x v="0"/>
    <x v="64"/>
    <x v="0"/>
    <x v="0"/>
    <x v="0"/>
  </r>
  <r>
    <x v="65"/>
    <x v="34"/>
    <x v="1"/>
    <x v="1"/>
    <x v="3"/>
    <x v="33"/>
    <x v="65"/>
    <x v="0"/>
    <x v="65"/>
    <x v="2"/>
    <x v="2"/>
    <x v="0"/>
  </r>
  <r>
    <x v="66"/>
    <x v="35"/>
    <x v="3"/>
    <x v="6"/>
    <x v="6"/>
    <x v="6"/>
    <x v="66"/>
    <x v="0"/>
    <x v="66"/>
    <x v="0"/>
    <x v="0"/>
    <x v="0"/>
  </r>
  <r>
    <x v="67"/>
    <x v="35"/>
    <x v="0"/>
    <x v="10"/>
    <x v="10"/>
    <x v="17"/>
    <x v="67"/>
    <x v="0"/>
    <x v="67"/>
    <x v="0"/>
    <x v="0"/>
    <x v="0"/>
  </r>
  <r>
    <x v="68"/>
    <x v="35"/>
    <x v="2"/>
    <x v="2"/>
    <x v="6"/>
    <x v="34"/>
    <x v="68"/>
    <x v="0"/>
    <x v="68"/>
    <x v="0"/>
    <x v="0"/>
    <x v="0"/>
  </r>
  <r>
    <x v="69"/>
    <x v="36"/>
    <x v="0"/>
    <x v="10"/>
    <x v="0"/>
    <x v="35"/>
    <x v="69"/>
    <x v="0"/>
    <x v="69"/>
    <x v="2"/>
    <x v="2"/>
    <x v="0"/>
  </r>
  <r>
    <x v="70"/>
    <x v="36"/>
    <x v="1"/>
    <x v="1"/>
    <x v="1"/>
    <x v="4"/>
    <x v="70"/>
    <x v="0"/>
    <x v="70"/>
    <x v="0"/>
    <x v="0"/>
    <x v="0"/>
  </r>
  <r>
    <x v="71"/>
    <x v="37"/>
    <x v="3"/>
    <x v="3"/>
    <x v="3"/>
    <x v="10"/>
    <x v="71"/>
    <x v="0"/>
    <x v="71"/>
    <x v="0"/>
    <x v="0"/>
    <x v="0"/>
  </r>
  <r>
    <x v="72"/>
    <x v="37"/>
    <x v="3"/>
    <x v="6"/>
    <x v="3"/>
    <x v="11"/>
    <x v="72"/>
    <x v="0"/>
    <x v="72"/>
    <x v="0"/>
    <x v="0"/>
    <x v="0"/>
  </r>
  <r>
    <x v="73"/>
    <x v="38"/>
    <x v="0"/>
    <x v="0"/>
    <x v="4"/>
    <x v="14"/>
    <x v="73"/>
    <x v="0"/>
    <x v="73"/>
    <x v="0"/>
    <x v="0"/>
    <x v="0"/>
  </r>
  <r>
    <x v="74"/>
    <x v="38"/>
    <x v="1"/>
    <x v="1"/>
    <x v="8"/>
    <x v="18"/>
    <x v="74"/>
    <x v="0"/>
    <x v="74"/>
    <x v="0"/>
    <x v="0"/>
    <x v="0"/>
  </r>
  <r>
    <x v="75"/>
    <x v="38"/>
    <x v="3"/>
    <x v="3"/>
    <x v="6"/>
    <x v="5"/>
    <x v="75"/>
    <x v="0"/>
    <x v="75"/>
    <x v="2"/>
    <x v="2"/>
    <x v="0"/>
  </r>
  <r>
    <x v="76"/>
    <x v="39"/>
    <x v="0"/>
    <x v="0"/>
    <x v="4"/>
    <x v="36"/>
    <x v="76"/>
    <x v="0"/>
    <x v="76"/>
    <x v="1"/>
    <x v="1"/>
    <x v="0"/>
  </r>
  <r>
    <x v="77"/>
    <x v="40"/>
    <x v="2"/>
    <x v="7"/>
    <x v="2"/>
    <x v="14"/>
    <x v="77"/>
    <x v="0"/>
    <x v="77"/>
    <x v="0"/>
    <x v="0"/>
    <x v="0"/>
  </r>
  <r>
    <x v="78"/>
    <x v="40"/>
    <x v="2"/>
    <x v="2"/>
    <x v="5"/>
    <x v="32"/>
    <x v="78"/>
    <x v="0"/>
    <x v="78"/>
    <x v="0"/>
    <x v="0"/>
    <x v="0"/>
  </r>
  <r>
    <x v="79"/>
    <x v="40"/>
    <x v="3"/>
    <x v="6"/>
    <x v="3"/>
    <x v="32"/>
    <x v="79"/>
    <x v="0"/>
    <x v="79"/>
    <x v="0"/>
    <x v="0"/>
    <x v="0"/>
  </r>
  <r>
    <x v="80"/>
    <x v="41"/>
    <x v="2"/>
    <x v="2"/>
    <x v="2"/>
    <x v="1"/>
    <x v="80"/>
    <x v="0"/>
    <x v="80"/>
    <x v="0"/>
    <x v="0"/>
    <x v="0"/>
  </r>
  <r>
    <x v="81"/>
    <x v="41"/>
    <x v="2"/>
    <x v="2"/>
    <x v="5"/>
    <x v="34"/>
    <x v="81"/>
    <x v="0"/>
    <x v="81"/>
    <x v="0"/>
    <x v="0"/>
    <x v="0"/>
  </r>
  <r>
    <x v="82"/>
    <x v="42"/>
    <x v="2"/>
    <x v="5"/>
    <x v="6"/>
    <x v="26"/>
    <x v="82"/>
    <x v="0"/>
    <x v="82"/>
    <x v="1"/>
    <x v="1"/>
    <x v="0"/>
  </r>
  <r>
    <x v="83"/>
    <x v="43"/>
    <x v="0"/>
    <x v="10"/>
    <x v="4"/>
    <x v="20"/>
    <x v="83"/>
    <x v="0"/>
    <x v="83"/>
    <x v="0"/>
    <x v="0"/>
    <x v="0"/>
  </r>
  <r>
    <x v="84"/>
    <x v="44"/>
    <x v="3"/>
    <x v="3"/>
    <x v="6"/>
    <x v="8"/>
    <x v="84"/>
    <x v="0"/>
    <x v="84"/>
    <x v="0"/>
    <x v="0"/>
    <x v="0"/>
  </r>
  <r>
    <x v="85"/>
    <x v="44"/>
    <x v="0"/>
    <x v="0"/>
    <x v="4"/>
    <x v="32"/>
    <x v="85"/>
    <x v="0"/>
    <x v="85"/>
    <x v="0"/>
    <x v="0"/>
    <x v="0"/>
  </r>
  <r>
    <x v="86"/>
    <x v="45"/>
    <x v="2"/>
    <x v="2"/>
    <x v="2"/>
    <x v="37"/>
    <x v="86"/>
    <x v="1"/>
    <x v="86"/>
    <x v="4"/>
    <x v="4"/>
    <x v="0"/>
  </r>
  <r>
    <x v="87"/>
    <x v="45"/>
    <x v="1"/>
    <x v="9"/>
    <x v="1"/>
    <x v="33"/>
    <x v="87"/>
    <x v="0"/>
    <x v="87"/>
    <x v="2"/>
    <x v="2"/>
    <x v="0"/>
  </r>
  <r>
    <x v="88"/>
    <x v="46"/>
    <x v="0"/>
    <x v="0"/>
    <x v="0"/>
    <x v="17"/>
    <x v="88"/>
    <x v="0"/>
    <x v="88"/>
    <x v="0"/>
    <x v="0"/>
    <x v="0"/>
  </r>
  <r>
    <x v="89"/>
    <x v="47"/>
    <x v="2"/>
    <x v="2"/>
    <x v="2"/>
    <x v="13"/>
    <x v="89"/>
    <x v="0"/>
    <x v="89"/>
    <x v="0"/>
    <x v="0"/>
    <x v="0"/>
  </r>
  <r>
    <x v="90"/>
    <x v="48"/>
    <x v="2"/>
    <x v="5"/>
    <x v="6"/>
    <x v="24"/>
    <x v="90"/>
    <x v="0"/>
    <x v="90"/>
    <x v="1"/>
    <x v="1"/>
    <x v="0"/>
  </r>
  <r>
    <x v="91"/>
    <x v="48"/>
    <x v="1"/>
    <x v="9"/>
    <x v="8"/>
    <x v="16"/>
    <x v="91"/>
    <x v="0"/>
    <x v="91"/>
    <x v="2"/>
    <x v="2"/>
    <x v="0"/>
  </r>
  <r>
    <x v="92"/>
    <x v="49"/>
    <x v="0"/>
    <x v="10"/>
    <x v="0"/>
    <x v="38"/>
    <x v="92"/>
    <x v="0"/>
    <x v="92"/>
    <x v="2"/>
    <x v="2"/>
    <x v="0"/>
  </r>
  <r>
    <x v="93"/>
    <x v="50"/>
    <x v="4"/>
    <x v="4"/>
    <x v="4"/>
    <x v="12"/>
    <x v="93"/>
    <x v="0"/>
    <x v="93"/>
    <x v="0"/>
    <x v="0"/>
    <x v="0"/>
  </r>
  <r>
    <x v="94"/>
    <x v="51"/>
    <x v="2"/>
    <x v="7"/>
    <x v="5"/>
    <x v="10"/>
    <x v="94"/>
    <x v="0"/>
    <x v="94"/>
    <x v="0"/>
    <x v="0"/>
    <x v="0"/>
  </r>
  <r>
    <x v="95"/>
    <x v="51"/>
    <x v="1"/>
    <x v="1"/>
    <x v="3"/>
    <x v="6"/>
    <x v="95"/>
    <x v="0"/>
    <x v="95"/>
    <x v="0"/>
    <x v="0"/>
    <x v="0"/>
  </r>
  <r>
    <x v="96"/>
    <x v="52"/>
    <x v="2"/>
    <x v="5"/>
    <x v="2"/>
    <x v="28"/>
    <x v="96"/>
    <x v="0"/>
    <x v="96"/>
    <x v="2"/>
    <x v="2"/>
    <x v="0"/>
  </r>
  <r>
    <x v="97"/>
    <x v="53"/>
    <x v="4"/>
    <x v="4"/>
    <x v="7"/>
    <x v="25"/>
    <x v="97"/>
    <x v="0"/>
    <x v="97"/>
    <x v="0"/>
    <x v="0"/>
    <x v="0"/>
  </r>
  <r>
    <x v="98"/>
    <x v="54"/>
    <x v="0"/>
    <x v="0"/>
    <x v="10"/>
    <x v="39"/>
    <x v="98"/>
    <x v="0"/>
    <x v="98"/>
    <x v="2"/>
    <x v="2"/>
    <x v="0"/>
  </r>
  <r>
    <x v="99"/>
    <x v="55"/>
    <x v="0"/>
    <x v="0"/>
    <x v="4"/>
    <x v="40"/>
    <x v="99"/>
    <x v="0"/>
    <x v="99"/>
    <x v="1"/>
    <x v="1"/>
    <x v="0"/>
  </r>
  <r>
    <x v="100"/>
    <x v="56"/>
    <x v="3"/>
    <x v="3"/>
    <x v="6"/>
    <x v="22"/>
    <x v="100"/>
    <x v="0"/>
    <x v="100"/>
    <x v="2"/>
    <x v="2"/>
    <x v="0"/>
  </r>
  <r>
    <x v="101"/>
    <x v="57"/>
    <x v="3"/>
    <x v="6"/>
    <x v="3"/>
    <x v="6"/>
    <x v="101"/>
    <x v="0"/>
    <x v="101"/>
    <x v="0"/>
    <x v="0"/>
    <x v="0"/>
  </r>
  <r>
    <x v="102"/>
    <x v="58"/>
    <x v="0"/>
    <x v="10"/>
    <x v="0"/>
    <x v="18"/>
    <x v="102"/>
    <x v="0"/>
    <x v="102"/>
    <x v="0"/>
    <x v="0"/>
    <x v="0"/>
  </r>
  <r>
    <x v="103"/>
    <x v="58"/>
    <x v="1"/>
    <x v="1"/>
    <x v="3"/>
    <x v="41"/>
    <x v="103"/>
    <x v="0"/>
    <x v="103"/>
    <x v="2"/>
    <x v="2"/>
    <x v="0"/>
  </r>
  <r>
    <x v="104"/>
    <x v="59"/>
    <x v="2"/>
    <x v="2"/>
    <x v="2"/>
    <x v="35"/>
    <x v="104"/>
    <x v="0"/>
    <x v="104"/>
    <x v="2"/>
    <x v="2"/>
    <x v="0"/>
  </r>
  <r>
    <x v="105"/>
    <x v="59"/>
    <x v="0"/>
    <x v="10"/>
    <x v="10"/>
    <x v="5"/>
    <x v="105"/>
    <x v="0"/>
    <x v="105"/>
    <x v="2"/>
    <x v="2"/>
    <x v="0"/>
  </r>
  <r>
    <x v="106"/>
    <x v="60"/>
    <x v="1"/>
    <x v="9"/>
    <x v="8"/>
    <x v="21"/>
    <x v="106"/>
    <x v="0"/>
    <x v="106"/>
    <x v="2"/>
    <x v="2"/>
    <x v="0"/>
  </r>
  <r>
    <x v="107"/>
    <x v="61"/>
    <x v="2"/>
    <x v="5"/>
    <x v="2"/>
    <x v="0"/>
    <x v="107"/>
    <x v="0"/>
    <x v="107"/>
    <x v="0"/>
    <x v="0"/>
    <x v="0"/>
  </r>
  <r>
    <x v="108"/>
    <x v="62"/>
    <x v="2"/>
    <x v="2"/>
    <x v="2"/>
    <x v="24"/>
    <x v="108"/>
    <x v="0"/>
    <x v="108"/>
    <x v="1"/>
    <x v="1"/>
    <x v="0"/>
  </r>
  <r>
    <x v="109"/>
    <x v="63"/>
    <x v="2"/>
    <x v="2"/>
    <x v="2"/>
    <x v="8"/>
    <x v="109"/>
    <x v="0"/>
    <x v="109"/>
    <x v="0"/>
    <x v="0"/>
    <x v="0"/>
  </r>
  <r>
    <x v="110"/>
    <x v="63"/>
    <x v="0"/>
    <x v="0"/>
    <x v="4"/>
    <x v="42"/>
    <x v="110"/>
    <x v="0"/>
    <x v="110"/>
    <x v="0"/>
    <x v="0"/>
    <x v="0"/>
  </r>
  <r>
    <x v="111"/>
    <x v="64"/>
    <x v="2"/>
    <x v="7"/>
    <x v="2"/>
    <x v="15"/>
    <x v="111"/>
    <x v="0"/>
    <x v="111"/>
    <x v="0"/>
    <x v="0"/>
    <x v="0"/>
  </r>
  <r>
    <x v="112"/>
    <x v="64"/>
    <x v="2"/>
    <x v="5"/>
    <x v="5"/>
    <x v="39"/>
    <x v="112"/>
    <x v="0"/>
    <x v="112"/>
    <x v="2"/>
    <x v="2"/>
    <x v="0"/>
  </r>
  <r>
    <x v="113"/>
    <x v="64"/>
    <x v="2"/>
    <x v="2"/>
    <x v="6"/>
    <x v="20"/>
    <x v="113"/>
    <x v="0"/>
    <x v="113"/>
    <x v="0"/>
    <x v="0"/>
    <x v="0"/>
  </r>
  <r>
    <x v="114"/>
    <x v="65"/>
    <x v="1"/>
    <x v="9"/>
    <x v="1"/>
    <x v="10"/>
    <x v="114"/>
    <x v="0"/>
    <x v="114"/>
    <x v="0"/>
    <x v="0"/>
    <x v="0"/>
  </r>
  <r>
    <x v="115"/>
    <x v="65"/>
    <x v="2"/>
    <x v="5"/>
    <x v="6"/>
    <x v="43"/>
    <x v="115"/>
    <x v="1"/>
    <x v="29"/>
    <x v="4"/>
    <x v="4"/>
    <x v="0"/>
  </r>
  <r>
    <x v="116"/>
    <x v="66"/>
    <x v="0"/>
    <x v="10"/>
    <x v="4"/>
    <x v="8"/>
    <x v="116"/>
    <x v="0"/>
    <x v="115"/>
    <x v="0"/>
    <x v="0"/>
    <x v="0"/>
  </r>
  <r>
    <x v="117"/>
    <x v="66"/>
    <x v="3"/>
    <x v="3"/>
    <x v="11"/>
    <x v="12"/>
    <x v="117"/>
    <x v="0"/>
    <x v="116"/>
    <x v="0"/>
    <x v="0"/>
    <x v="0"/>
  </r>
  <r>
    <x v="118"/>
    <x v="67"/>
    <x v="4"/>
    <x v="8"/>
    <x v="9"/>
    <x v="26"/>
    <x v="118"/>
    <x v="0"/>
    <x v="117"/>
    <x v="1"/>
    <x v="1"/>
    <x v="0"/>
  </r>
  <r>
    <x v="119"/>
    <x v="67"/>
    <x v="1"/>
    <x v="9"/>
    <x v="1"/>
    <x v="44"/>
    <x v="119"/>
    <x v="0"/>
    <x v="91"/>
    <x v="2"/>
    <x v="2"/>
    <x v="0"/>
  </r>
  <r>
    <x v="120"/>
    <x v="67"/>
    <x v="2"/>
    <x v="5"/>
    <x v="2"/>
    <x v="45"/>
    <x v="120"/>
    <x v="0"/>
    <x v="118"/>
    <x v="2"/>
    <x v="2"/>
    <x v="0"/>
  </r>
  <r>
    <x v="121"/>
    <x v="67"/>
    <x v="2"/>
    <x v="5"/>
    <x v="6"/>
    <x v="18"/>
    <x v="121"/>
    <x v="0"/>
    <x v="119"/>
    <x v="0"/>
    <x v="0"/>
    <x v="0"/>
  </r>
  <r>
    <x v="122"/>
    <x v="68"/>
    <x v="4"/>
    <x v="4"/>
    <x v="7"/>
    <x v="46"/>
    <x v="122"/>
    <x v="0"/>
    <x v="120"/>
    <x v="4"/>
    <x v="4"/>
    <x v="0"/>
  </r>
  <r>
    <x v="123"/>
    <x v="68"/>
    <x v="3"/>
    <x v="6"/>
    <x v="11"/>
    <x v="3"/>
    <x v="123"/>
    <x v="1"/>
    <x v="121"/>
    <x v="1"/>
    <x v="1"/>
    <x v="0"/>
  </r>
  <r>
    <x v="124"/>
    <x v="68"/>
    <x v="2"/>
    <x v="7"/>
    <x v="2"/>
    <x v="16"/>
    <x v="124"/>
    <x v="0"/>
    <x v="122"/>
    <x v="2"/>
    <x v="2"/>
    <x v="0"/>
  </r>
  <r>
    <x v="125"/>
    <x v="68"/>
    <x v="3"/>
    <x v="3"/>
    <x v="11"/>
    <x v="47"/>
    <x v="125"/>
    <x v="0"/>
    <x v="123"/>
    <x v="2"/>
    <x v="2"/>
    <x v="0"/>
  </r>
  <r>
    <x v="126"/>
    <x v="69"/>
    <x v="3"/>
    <x v="6"/>
    <x v="6"/>
    <x v="19"/>
    <x v="126"/>
    <x v="0"/>
    <x v="124"/>
    <x v="0"/>
    <x v="0"/>
    <x v="0"/>
  </r>
  <r>
    <x v="127"/>
    <x v="69"/>
    <x v="2"/>
    <x v="7"/>
    <x v="2"/>
    <x v="40"/>
    <x v="127"/>
    <x v="0"/>
    <x v="125"/>
    <x v="1"/>
    <x v="1"/>
    <x v="0"/>
  </r>
  <r>
    <x v="128"/>
    <x v="70"/>
    <x v="2"/>
    <x v="2"/>
    <x v="5"/>
    <x v="2"/>
    <x v="128"/>
    <x v="0"/>
    <x v="126"/>
    <x v="1"/>
    <x v="1"/>
    <x v="0"/>
  </r>
  <r>
    <x v="129"/>
    <x v="71"/>
    <x v="0"/>
    <x v="10"/>
    <x v="0"/>
    <x v="36"/>
    <x v="129"/>
    <x v="0"/>
    <x v="127"/>
    <x v="1"/>
    <x v="1"/>
    <x v="0"/>
  </r>
  <r>
    <x v="130"/>
    <x v="72"/>
    <x v="0"/>
    <x v="0"/>
    <x v="10"/>
    <x v="25"/>
    <x v="130"/>
    <x v="0"/>
    <x v="128"/>
    <x v="0"/>
    <x v="0"/>
    <x v="0"/>
  </r>
  <r>
    <x v="131"/>
    <x v="73"/>
    <x v="4"/>
    <x v="8"/>
    <x v="9"/>
    <x v="14"/>
    <x v="131"/>
    <x v="0"/>
    <x v="129"/>
    <x v="0"/>
    <x v="0"/>
    <x v="0"/>
  </r>
  <r>
    <x v="132"/>
    <x v="73"/>
    <x v="2"/>
    <x v="2"/>
    <x v="5"/>
    <x v="5"/>
    <x v="132"/>
    <x v="0"/>
    <x v="130"/>
    <x v="2"/>
    <x v="2"/>
    <x v="0"/>
  </r>
  <r>
    <x v="133"/>
    <x v="73"/>
    <x v="0"/>
    <x v="0"/>
    <x v="0"/>
    <x v="11"/>
    <x v="133"/>
    <x v="0"/>
    <x v="131"/>
    <x v="0"/>
    <x v="0"/>
    <x v="0"/>
  </r>
  <r>
    <x v="134"/>
    <x v="74"/>
    <x v="1"/>
    <x v="9"/>
    <x v="3"/>
    <x v="10"/>
    <x v="134"/>
    <x v="0"/>
    <x v="132"/>
    <x v="0"/>
    <x v="0"/>
    <x v="0"/>
  </r>
  <r>
    <x v="135"/>
    <x v="75"/>
    <x v="2"/>
    <x v="2"/>
    <x v="6"/>
    <x v="48"/>
    <x v="135"/>
    <x v="0"/>
    <x v="133"/>
    <x v="1"/>
    <x v="1"/>
    <x v="0"/>
  </r>
  <r>
    <x v="136"/>
    <x v="76"/>
    <x v="1"/>
    <x v="1"/>
    <x v="3"/>
    <x v="15"/>
    <x v="136"/>
    <x v="0"/>
    <x v="134"/>
    <x v="0"/>
    <x v="0"/>
    <x v="0"/>
  </r>
  <r>
    <x v="137"/>
    <x v="77"/>
    <x v="3"/>
    <x v="3"/>
    <x v="11"/>
    <x v="49"/>
    <x v="137"/>
    <x v="0"/>
    <x v="135"/>
    <x v="0"/>
    <x v="0"/>
    <x v="0"/>
  </r>
  <r>
    <x v="138"/>
    <x v="78"/>
    <x v="3"/>
    <x v="6"/>
    <x v="3"/>
    <x v="12"/>
    <x v="138"/>
    <x v="0"/>
    <x v="136"/>
    <x v="0"/>
    <x v="0"/>
    <x v="0"/>
  </r>
  <r>
    <x v="139"/>
    <x v="78"/>
    <x v="2"/>
    <x v="2"/>
    <x v="6"/>
    <x v="50"/>
    <x v="139"/>
    <x v="1"/>
    <x v="137"/>
    <x v="4"/>
    <x v="4"/>
    <x v="0"/>
  </r>
  <r>
    <x v="140"/>
    <x v="79"/>
    <x v="2"/>
    <x v="5"/>
    <x v="5"/>
    <x v="34"/>
    <x v="140"/>
    <x v="0"/>
    <x v="138"/>
    <x v="0"/>
    <x v="0"/>
    <x v="0"/>
  </r>
  <r>
    <x v="141"/>
    <x v="80"/>
    <x v="2"/>
    <x v="2"/>
    <x v="5"/>
    <x v="2"/>
    <x v="141"/>
    <x v="0"/>
    <x v="139"/>
    <x v="1"/>
    <x v="1"/>
    <x v="0"/>
  </r>
  <r>
    <x v="142"/>
    <x v="80"/>
    <x v="2"/>
    <x v="5"/>
    <x v="2"/>
    <x v="36"/>
    <x v="142"/>
    <x v="0"/>
    <x v="140"/>
    <x v="1"/>
    <x v="1"/>
    <x v="0"/>
  </r>
  <r>
    <x v="143"/>
    <x v="81"/>
    <x v="3"/>
    <x v="3"/>
    <x v="3"/>
    <x v="34"/>
    <x v="58"/>
    <x v="0"/>
    <x v="141"/>
    <x v="0"/>
    <x v="0"/>
    <x v="0"/>
  </r>
  <r>
    <x v="144"/>
    <x v="82"/>
    <x v="2"/>
    <x v="7"/>
    <x v="5"/>
    <x v="25"/>
    <x v="143"/>
    <x v="0"/>
    <x v="142"/>
    <x v="0"/>
    <x v="0"/>
    <x v="0"/>
  </r>
  <r>
    <x v="145"/>
    <x v="82"/>
    <x v="4"/>
    <x v="8"/>
    <x v="7"/>
    <x v="51"/>
    <x v="144"/>
    <x v="0"/>
    <x v="143"/>
    <x v="1"/>
    <x v="1"/>
    <x v="0"/>
  </r>
  <r>
    <x v="146"/>
    <x v="83"/>
    <x v="0"/>
    <x v="0"/>
    <x v="10"/>
    <x v="4"/>
    <x v="145"/>
    <x v="0"/>
    <x v="144"/>
    <x v="0"/>
    <x v="0"/>
    <x v="0"/>
  </r>
  <r>
    <x v="147"/>
    <x v="84"/>
    <x v="1"/>
    <x v="9"/>
    <x v="3"/>
    <x v="35"/>
    <x v="146"/>
    <x v="0"/>
    <x v="145"/>
    <x v="2"/>
    <x v="2"/>
    <x v="0"/>
  </r>
  <r>
    <x v="148"/>
    <x v="84"/>
    <x v="2"/>
    <x v="5"/>
    <x v="5"/>
    <x v="6"/>
    <x v="147"/>
    <x v="0"/>
    <x v="146"/>
    <x v="0"/>
    <x v="0"/>
    <x v="0"/>
  </r>
  <r>
    <x v="149"/>
    <x v="84"/>
    <x v="1"/>
    <x v="1"/>
    <x v="3"/>
    <x v="42"/>
    <x v="148"/>
    <x v="1"/>
    <x v="147"/>
    <x v="0"/>
    <x v="0"/>
    <x v="0"/>
  </r>
  <r>
    <x v="150"/>
    <x v="84"/>
    <x v="1"/>
    <x v="9"/>
    <x v="1"/>
    <x v="38"/>
    <x v="149"/>
    <x v="0"/>
    <x v="148"/>
    <x v="2"/>
    <x v="2"/>
    <x v="0"/>
  </r>
  <r>
    <x v="151"/>
    <x v="85"/>
    <x v="4"/>
    <x v="8"/>
    <x v="4"/>
    <x v="36"/>
    <x v="150"/>
    <x v="0"/>
    <x v="149"/>
    <x v="1"/>
    <x v="1"/>
    <x v="0"/>
  </r>
  <r>
    <x v="152"/>
    <x v="86"/>
    <x v="3"/>
    <x v="3"/>
    <x v="3"/>
    <x v="36"/>
    <x v="151"/>
    <x v="1"/>
    <x v="150"/>
    <x v="1"/>
    <x v="1"/>
    <x v="0"/>
  </r>
  <r>
    <x v="153"/>
    <x v="87"/>
    <x v="2"/>
    <x v="7"/>
    <x v="5"/>
    <x v="13"/>
    <x v="152"/>
    <x v="0"/>
    <x v="151"/>
    <x v="0"/>
    <x v="0"/>
    <x v="0"/>
  </r>
  <r>
    <x v="154"/>
    <x v="87"/>
    <x v="3"/>
    <x v="3"/>
    <x v="6"/>
    <x v="4"/>
    <x v="153"/>
    <x v="0"/>
    <x v="152"/>
    <x v="0"/>
    <x v="0"/>
    <x v="0"/>
  </r>
  <r>
    <x v="155"/>
    <x v="88"/>
    <x v="1"/>
    <x v="9"/>
    <x v="3"/>
    <x v="44"/>
    <x v="154"/>
    <x v="0"/>
    <x v="153"/>
    <x v="2"/>
    <x v="2"/>
    <x v="0"/>
  </r>
  <r>
    <x v="156"/>
    <x v="88"/>
    <x v="1"/>
    <x v="9"/>
    <x v="1"/>
    <x v="22"/>
    <x v="155"/>
    <x v="0"/>
    <x v="154"/>
    <x v="2"/>
    <x v="2"/>
    <x v="0"/>
  </r>
  <r>
    <x v="157"/>
    <x v="88"/>
    <x v="2"/>
    <x v="2"/>
    <x v="5"/>
    <x v="45"/>
    <x v="156"/>
    <x v="0"/>
    <x v="155"/>
    <x v="2"/>
    <x v="2"/>
    <x v="0"/>
  </r>
  <r>
    <x v="158"/>
    <x v="89"/>
    <x v="4"/>
    <x v="4"/>
    <x v="9"/>
    <x v="1"/>
    <x v="157"/>
    <x v="0"/>
    <x v="156"/>
    <x v="0"/>
    <x v="0"/>
    <x v="0"/>
  </r>
  <r>
    <x v="159"/>
    <x v="89"/>
    <x v="3"/>
    <x v="3"/>
    <x v="11"/>
    <x v="11"/>
    <x v="158"/>
    <x v="0"/>
    <x v="157"/>
    <x v="0"/>
    <x v="0"/>
    <x v="0"/>
  </r>
  <r>
    <x v="160"/>
    <x v="90"/>
    <x v="2"/>
    <x v="7"/>
    <x v="6"/>
    <x v="11"/>
    <x v="159"/>
    <x v="0"/>
    <x v="158"/>
    <x v="0"/>
    <x v="0"/>
    <x v="0"/>
  </r>
  <r>
    <x v="161"/>
    <x v="90"/>
    <x v="4"/>
    <x v="4"/>
    <x v="7"/>
    <x v="0"/>
    <x v="160"/>
    <x v="0"/>
    <x v="159"/>
    <x v="0"/>
    <x v="0"/>
    <x v="0"/>
  </r>
  <r>
    <x v="162"/>
    <x v="91"/>
    <x v="2"/>
    <x v="5"/>
    <x v="6"/>
    <x v="42"/>
    <x v="161"/>
    <x v="0"/>
    <x v="160"/>
    <x v="0"/>
    <x v="0"/>
    <x v="0"/>
  </r>
  <r>
    <x v="163"/>
    <x v="92"/>
    <x v="3"/>
    <x v="3"/>
    <x v="11"/>
    <x v="49"/>
    <x v="162"/>
    <x v="0"/>
    <x v="161"/>
    <x v="0"/>
    <x v="0"/>
    <x v="0"/>
  </r>
  <r>
    <x v="164"/>
    <x v="93"/>
    <x v="0"/>
    <x v="0"/>
    <x v="0"/>
    <x v="35"/>
    <x v="163"/>
    <x v="0"/>
    <x v="162"/>
    <x v="2"/>
    <x v="2"/>
    <x v="0"/>
  </r>
  <r>
    <x v="165"/>
    <x v="93"/>
    <x v="0"/>
    <x v="10"/>
    <x v="10"/>
    <x v="8"/>
    <x v="164"/>
    <x v="0"/>
    <x v="163"/>
    <x v="0"/>
    <x v="0"/>
    <x v="0"/>
  </r>
  <r>
    <x v="166"/>
    <x v="93"/>
    <x v="1"/>
    <x v="1"/>
    <x v="3"/>
    <x v="8"/>
    <x v="165"/>
    <x v="0"/>
    <x v="164"/>
    <x v="0"/>
    <x v="0"/>
    <x v="0"/>
  </r>
  <r>
    <x v="167"/>
    <x v="94"/>
    <x v="3"/>
    <x v="3"/>
    <x v="11"/>
    <x v="20"/>
    <x v="166"/>
    <x v="0"/>
    <x v="165"/>
    <x v="0"/>
    <x v="0"/>
    <x v="0"/>
  </r>
  <r>
    <x v="168"/>
    <x v="95"/>
    <x v="2"/>
    <x v="7"/>
    <x v="2"/>
    <x v="17"/>
    <x v="167"/>
    <x v="0"/>
    <x v="166"/>
    <x v="0"/>
    <x v="0"/>
    <x v="0"/>
  </r>
  <r>
    <x v="169"/>
    <x v="95"/>
    <x v="3"/>
    <x v="6"/>
    <x v="11"/>
    <x v="15"/>
    <x v="168"/>
    <x v="0"/>
    <x v="167"/>
    <x v="0"/>
    <x v="0"/>
    <x v="0"/>
  </r>
  <r>
    <x v="170"/>
    <x v="95"/>
    <x v="1"/>
    <x v="1"/>
    <x v="8"/>
    <x v="18"/>
    <x v="169"/>
    <x v="0"/>
    <x v="168"/>
    <x v="0"/>
    <x v="0"/>
    <x v="0"/>
  </r>
  <r>
    <x v="171"/>
    <x v="95"/>
    <x v="1"/>
    <x v="1"/>
    <x v="8"/>
    <x v="20"/>
    <x v="170"/>
    <x v="1"/>
    <x v="169"/>
    <x v="0"/>
    <x v="0"/>
    <x v="0"/>
  </r>
  <r>
    <x v="172"/>
    <x v="96"/>
    <x v="3"/>
    <x v="3"/>
    <x v="11"/>
    <x v="18"/>
    <x v="171"/>
    <x v="0"/>
    <x v="170"/>
    <x v="0"/>
    <x v="0"/>
    <x v="0"/>
  </r>
  <r>
    <x v="173"/>
    <x v="97"/>
    <x v="2"/>
    <x v="5"/>
    <x v="5"/>
    <x v="25"/>
    <x v="172"/>
    <x v="0"/>
    <x v="171"/>
    <x v="0"/>
    <x v="0"/>
    <x v="0"/>
  </r>
  <r>
    <x v="174"/>
    <x v="98"/>
    <x v="2"/>
    <x v="7"/>
    <x v="5"/>
    <x v="0"/>
    <x v="173"/>
    <x v="0"/>
    <x v="172"/>
    <x v="0"/>
    <x v="0"/>
    <x v="0"/>
  </r>
  <r>
    <x v="175"/>
    <x v="98"/>
    <x v="0"/>
    <x v="10"/>
    <x v="4"/>
    <x v="14"/>
    <x v="174"/>
    <x v="0"/>
    <x v="173"/>
    <x v="0"/>
    <x v="0"/>
    <x v="0"/>
  </r>
  <r>
    <x v="176"/>
    <x v="98"/>
    <x v="0"/>
    <x v="0"/>
    <x v="0"/>
    <x v="12"/>
    <x v="175"/>
    <x v="0"/>
    <x v="174"/>
    <x v="0"/>
    <x v="0"/>
    <x v="0"/>
  </r>
  <r>
    <x v="177"/>
    <x v="99"/>
    <x v="3"/>
    <x v="3"/>
    <x v="3"/>
    <x v="0"/>
    <x v="176"/>
    <x v="0"/>
    <x v="175"/>
    <x v="0"/>
    <x v="0"/>
    <x v="0"/>
  </r>
  <r>
    <x v="178"/>
    <x v="100"/>
    <x v="0"/>
    <x v="0"/>
    <x v="10"/>
    <x v="52"/>
    <x v="177"/>
    <x v="0"/>
    <x v="176"/>
    <x v="1"/>
    <x v="1"/>
    <x v="0"/>
  </r>
  <r>
    <x v="179"/>
    <x v="100"/>
    <x v="2"/>
    <x v="5"/>
    <x v="2"/>
    <x v="8"/>
    <x v="178"/>
    <x v="0"/>
    <x v="177"/>
    <x v="0"/>
    <x v="0"/>
    <x v="0"/>
  </r>
  <r>
    <x v="180"/>
    <x v="101"/>
    <x v="0"/>
    <x v="10"/>
    <x v="4"/>
    <x v="53"/>
    <x v="179"/>
    <x v="0"/>
    <x v="178"/>
    <x v="2"/>
    <x v="2"/>
    <x v="0"/>
  </r>
  <r>
    <x v="181"/>
    <x v="102"/>
    <x v="2"/>
    <x v="5"/>
    <x v="5"/>
    <x v="24"/>
    <x v="180"/>
    <x v="0"/>
    <x v="179"/>
    <x v="1"/>
    <x v="1"/>
    <x v="0"/>
  </r>
  <r>
    <x v="182"/>
    <x v="103"/>
    <x v="1"/>
    <x v="9"/>
    <x v="8"/>
    <x v="5"/>
    <x v="181"/>
    <x v="0"/>
    <x v="180"/>
    <x v="2"/>
    <x v="2"/>
    <x v="0"/>
  </r>
  <r>
    <x v="183"/>
    <x v="104"/>
    <x v="3"/>
    <x v="6"/>
    <x v="6"/>
    <x v="20"/>
    <x v="182"/>
    <x v="0"/>
    <x v="181"/>
    <x v="0"/>
    <x v="0"/>
    <x v="0"/>
  </r>
  <r>
    <x v="184"/>
    <x v="104"/>
    <x v="1"/>
    <x v="9"/>
    <x v="1"/>
    <x v="22"/>
    <x v="183"/>
    <x v="0"/>
    <x v="182"/>
    <x v="2"/>
    <x v="2"/>
    <x v="0"/>
  </r>
  <r>
    <x v="185"/>
    <x v="105"/>
    <x v="1"/>
    <x v="1"/>
    <x v="3"/>
    <x v="8"/>
    <x v="184"/>
    <x v="0"/>
    <x v="183"/>
    <x v="0"/>
    <x v="0"/>
    <x v="0"/>
  </r>
  <r>
    <x v="186"/>
    <x v="106"/>
    <x v="2"/>
    <x v="2"/>
    <x v="2"/>
    <x v="14"/>
    <x v="185"/>
    <x v="0"/>
    <x v="184"/>
    <x v="0"/>
    <x v="0"/>
    <x v="0"/>
  </r>
  <r>
    <x v="187"/>
    <x v="107"/>
    <x v="3"/>
    <x v="3"/>
    <x v="6"/>
    <x v="5"/>
    <x v="186"/>
    <x v="0"/>
    <x v="185"/>
    <x v="2"/>
    <x v="2"/>
    <x v="0"/>
  </r>
  <r>
    <x v="188"/>
    <x v="108"/>
    <x v="2"/>
    <x v="5"/>
    <x v="6"/>
    <x v="14"/>
    <x v="187"/>
    <x v="0"/>
    <x v="186"/>
    <x v="0"/>
    <x v="0"/>
    <x v="0"/>
  </r>
  <r>
    <x v="189"/>
    <x v="108"/>
    <x v="4"/>
    <x v="8"/>
    <x v="7"/>
    <x v="46"/>
    <x v="188"/>
    <x v="0"/>
    <x v="187"/>
    <x v="4"/>
    <x v="4"/>
    <x v="0"/>
  </r>
  <r>
    <x v="190"/>
    <x v="109"/>
    <x v="0"/>
    <x v="0"/>
    <x v="10"/>
    <x v="39"/>
    <x v="189"/>
    <x v="0"/>
    <x v="188"/>
    <x v="2"/>
    <x v="2"/>
    <x v="0"/>
  </r>
  <r>
    <x v="191"/>
    <x v="110"/>
    <x v="1"/>
    <x v="9"/>
    <x v="8"/>
    <x v="44"/>
    <x v="190"/>
    <x v="0"/>
    <x v="189"/>
    <x v="2"/>
    <x v="2"/>
    <x v="0"/>
  </r>
  <r>
    <x v="192"/>
    <x v="111"/>
    <x v="3"/>
    <x v="6"/>
    <x v="3"/>
    <x v="5"/>
    <x v="191"/>
    <x v="0"/>
    <x v="190"/>
    <x v="2"/>
    <x v="2"/>
    <x v="0"/>
  </r>
  <r>
    <x v="193"/>
    <x v="111"/>
    <x v="1"/>
    <x v="1"/>
    <x v="3"/>
    <x v="14"/>
    <x v="192"/>
    <x v="1"/>
    <x v="191"/>
    <x v="0"/>
    <x v="0"/>
    <x v="0"/>
  </r>
  <r>
    <x v="194"/>
    <x v="111"/>
    <x v="3"/>
    <x v="3"/>
    <x v="6"/>
    <x v="17"/>
    <x v="193"/>
    <x v="0"/>
    <x v="192"/>
    <x v="0"/>
    <x v="0"/>
    <x v="0"/>
  </r>
  <r>
    <x v="195"/>
    <x v="111"/>
    <x v="4"/>
    <x v="8"/>
    <x v="4"/>
    <x v="54"/>
    <x v="194"/>
    <x v="0"/>
    <x v="193"/>
    <x v="4"/>
    <x v="4"/>
    <x v="0"/>
  </r>
  <r>
    <x v="196"/>
    <x v="112"/>
    <x v="4"/>
    <x v="8"/>
    <x v="4"/>
    <x v="29"/>
    <x v="195"/>
    <x v="0"/>
    <x v="194"/>
    <x v="1"/>
    <x v="1"/>
    <x v="0"/>
  </r>
  <r>
    <x v="197"/>
    <x v="113"/>
    <x v="3"/>
    <x v="6"/>
    <x v="11"/>
    <x v="20"/>
    <x v="196"/>
    <x v="0"/>
    <x v="195"/>
    <x v="0"/>
    <x v="0"/>
    <x v="0"/>
  </r>
  <r>
    <x v="198"/>
    <x v="113"/>
    <x v="2"/>
    <x v="7"/>
    <x v="6"/>
    <x v="23"/>
    <x v="197"/>
    <x v="0"/>
    <x v="196"/>
    <x v="2"/>
    <x v="2"/>
    <x v="0"/>
  </r>
  <r>
    <x v="199"/>
    <x v="114"/>
    <x v="1"/>
    <x v="9"/>
    <x v="8"/>
    <x v="4"/>
    <x v="198"/>
    <x v="0"/>
    <x v="197"/>
    <x v="0"/>
    <x v="0"/>
    <x v="0"/>
  </r>
  <r>
    <x v="200"/>
    <x v="115"/>
    <x v="2"/>
    <x v="5"/>
    <x v="5"/>
    <x v="42"/>
    <x v="199"/>
    <x v="0"/>
    <x v="198"/>
    <x v="0"/>
    <x v="0"/>
    <x v="0"/>
  </r>
  <r>
    <x v="201"/>
    <x v="115"/>
    <x v="2"/>
    <x v="5"/>
    <x v="5"/>
    <x v="13"/>
    <x v="200"/>
    <x v="0"/>
    <x v="199"/>
    <x v="0"/>
    <x v="0"/>
    <x v="0"/>
  </r>
  <r>
    <x v="202"/>
    <x v="116"/>
    <x v="4"/>
    <x v="4"/>
    <x v="4"/>
    <x v="55"/>
    <x v="201"/>
    <x v="1"/>
    <x v="200"/>
    <x v="4"/>
    <x v="4"/>
    <x v="0"/>
  </r>
  <r>
    <x v="203"/>
    <x v="117"/>
    <x v="4"/>
    <x v="8"/>
    <x v="9"/>
    <x v="43"/>
    <x v="202"/>
    <x v="0"/>
    <x v="201"/>
    <x v="4"/>
    <x v="4"/>
    <x v="0"/>
  </r>
  <r>
    <x v="204"/>
    <x v="117"/>
    <x v="2"/>
    <x v="7"/>
    <x v="5"/>
    <x v="56"/>
    <x v="203"/>
    <x v="0"/>
    <x v="202"/>
    <x v="1"/>
    <x v="1"/>
    <x v="0"/>
  </r>
  <r>
    <x v="205"/>
    <x v="117"/>
    <x v="4"/>
    <x v="4"/>
    <x v="7"/>
    <x v="51"/>
    <x v="204"/>
    <x v="0"/>
    <x v="203"/>
    <x v="1"/>
    <x v="1"/>
    <x v="0"/>
  </r>
  <r>
    <x v="206"/>
    <x v="118"/>
    <x v="3"/>
    <x v="3"/>
    <x v="6"/>
    <x v="11"/>
    <x v="205"/>
    <x v="0"/>
    <x v="204"/>
    <x v="0"/>
    <x v="0"/>
    <x v="0"/>
  </r>
  <r>
    <x v="207"/>
    <x v="118"/>
    <x v="2"/>
    <x v="2"/>
    <x v="6"/>
    <x v="3"/>
    <x v="206"/>
    <x v="0"/>
    <x v="205"/>
    <x v="1"/>
    <x v="1"/>
    <x v="0"/>
  </r>
  <r>
    <x v="208"/>
    <x v="118"/>
    <x v="3"/>
    <x v="3"/>
    <x v="6"/>
    <x v="11"/>
    <x v="207"/>
    <x v="0"/>
    <x v="206"/>
    <x v="0"/>
    <x v="0"/>
    <x v="0"/>
  </r>
  <r>
    <x v="209"/>
    <x v="118"/>
    <x v="1"/>
    <x v="1"/>
    <x v="3"/>
    <x v="15"/>
    <x v="208"/>
    <x v="0"/>
    <x v="207"/>
    <x v="0"/>
    <x v="0"/>
    <x v="0"/>
  </r>
  <r>
    <x v="210"/>
    <x v="118"/>
    <x v="3"/>
    <x v="3"/>
    <x v="11"/>
    <x v="51"/>
    <x v="209"/>
    <x v="1"/>
    <x v="208"/>
    <x v="1"/>
    <x v="1"/>
    <x v="0"/>
  </r>
  <r>
    <x v="211"/>
    <x v="119"/>
    <x v="0"/>
    <x v="10"/>
    <x v="4"/>
    <x v="6"/>
    <x v="210"/>
    <x v="0"/>
    <x v="209"/>
    <x v="0"/>
    <x v="0"/>
    <x v="0"/>
  </r>
  <r>
    <x v="212"/>
    <x v="119"/>
    <x v="2"/>
    <x v="2"/>
    <x v="6"/>
    <x v="14"/>
    <x v="211"/>
    <x v="0"/>
    <x v="210"/>
    <x v="0"/>
    <x v="0"/>
    <x v="0"/>
  </r>
  <r>
    <x v="213"/>
    <x v="119"/>
    <x v="3"/>
    <x v="6"/>
    <x v="11"/>
    <x v="49"/>
    <x v="212"/>
    <x v="0"/>
    <x v="211"/>
    <x v="0"/>
    <x v="0"/>
    <x v="0"/>
  </r>
  <r>
    <x v="214"/>
    <x v="119"/>
    <x v="1"/>
    <x v="9"/>
    <x v="8"/>
    <x v="8"/>
    <x v="213"/>
    <x v="0"/>
    <x v="212"/>
    <x v="0"/>
    <x v="0"/>
    <x v="0"/>
  </r>
  <r>
    <x v="215"/>
    <x v="120"/>
    <x v="2"/>
    <x v="7"/>
    <x v="6"/>
    <x v="53"/>
    <x v="214"/>
    <x v="0"/>
    <x v="213"/>
    <x v="2"/>
    <x v="2"/>
    <x v="0"/>
  </r>
  <r>
    <x v="216"/>
    <x v="121"/>
    <x v="2"/>
    <x v="2"/>
    <x v="5"/>
    <x v="20"/>
    <x v="215"/>
    <x v="0"/>
    <x v="214"/>
    <x v="0"/>
    <x v="0"/>
    <x v="0"/>
  </r>
  <r>
    <x v="217"/>
    <x v="122"/>
    <x v="1"/>
    <x v="1"/>
    <x v="3"/>
    <x v="5"/>
    <x v="216"/>
    <x v="0"/>
    <x v="215"/>
    <x v="2"/>
    <x v="2"/>
    <x v="0"/>
  </r>
  <r>
    <x v="218"/>
    <x v="122"/>
    <x v="1"/>
    <x v="9"/>
    <x v="1"/>
    <x v="25"/>
    <x v="217"/>
    <x v="1"/>
    <x v="216"/>
    <x v="0"/>
    <x v="0"/>
    <x v="0"/>
  </r>
  <r>
    <x v="219"/>
    <x v="123"/>
    <x v="1"/>
    <x v="9"/>
    <x v="1"/>
    <x v="22"/>
    <x v="218"/>
    <x v="0"/>
    <x v="217"/>
    <x v="2"/>
    <x v="2"/>
    <x v="0"/>
  </r>
  <r>
    <x v="220"/>
    <x v="123"/>
    <x v="0"/>
    <x v="10"/>
    <x v="10"/>
    <x v="11"/>
    <x v="219"/>
    <x v="0"/>
    <x v="218"/>
    <x v="0"/>
    <x v="0"/>
    <x v="0"/>
  </r>
  <r>
    <x v="221"/>
    <x v="123"/>
    <x v="4"/>
    <x v="8"/>
    <x v="9"/>
    <x v="49"/>
    <x v="220"/>
    <x v="0"/>
    <x v="219"/>
    <x v="0"/>
    <x v="0"/>
    <x v="0"/>
  </r>
  <r>
    <x v="222"/>
    <x v="124"/>
    <x v="0"/>
    <x v="0"/>
    <x v="0"/>
    <x v="14"/>
    <x v="221"/>
    <x v="0"/>
    <x v="220"/>
    <x v="0"/>
    <x v="0"/>
    <x v="0"/>
  </r>
  <r>
    <x v="223"/>
    <x v="125"/>
    <x v="3"/>
    <x v="3"/>
    <x v="11"/>
    <x v="6"/>
    <x v="222"/>
    <x v="0"/>
    <x v="221"/>
    <x v="0"/>
    <x v="0"/>
    <x v="0"/>
  </r>
  <r>
    <x v="224"/>
    <x v="126"/>
    <x v="0"/>
    <x v="0"/>
    <x v="10"/>
    <x v="44"/>
    <x v="223"/>
    <x v="0"/>
    <x v="222"/>
    <x v="2"/>
    <x v="2"/>
    <x v="0"/>
  </r>
  <r>
    <x v="225"/>
    <x v="126"/>
    <x v="4"/>
    <x v="8"/>
    <x v="7"/>
    <x v="57"/>
    <x v="224"/>
    <x v="0"/>
    <x v="223"/>
    <x v="4"/>
    <x v="4"/>
    <x v="0"/>
  </r>
  <r>
    <x v="226"/>
    <x v="126"/>
    <x v="0"/>
    <x v="0"/>
    <x v="10"/>
    <x v="27"/>
    <x v="225"/>
    <x v="1"/>
    <x v="224"/>
    <x v="1"/>
    <x v="1"/>
    <x v="0"/>
  </r>
  <r>
    <x v="227"/>
    <x v="127"/>
    <x v="2"/>
    <x v="2"/>
    <x v="2"/>
    <x v="56"/>
    <x v="226"/>
    <x v="0"/>
    <x v="225"/>
    <x v="1"/>
    <x v="1"/>
    <x v="0"/>
  </r>
  <r>
    <x v="228"/>
    <x v="128"/>
    <x v="3"/>
    <x v="3"/>
    <x v="6"/>
    <x v="15"/>
    <x v="227"/>
    <x v="0"/>
    <x v="226"/>
    <x v="0"/>
    <x v="0"/>
    <x v="0"/>
  </r>
  <r>
    <x v="229"/>
    <x v="129"/>
    <x v="4"/>
    <x v="4"/>
    <x v="9"/>
    <x v="21"/>
    <x v="228"/>
    <x v="0"/>
    <x v="102"/>
    <x v="2"/>
    <x v="2"/>
    <x v="0"/>
  </r>
  <r>
    <x v="230"/>
    <x v="130"/>
    <x v="3"/>
    <x v="3"/>
    <x v="6"/>
    <x v="5"/>
    <x v="229"/>
    <x v="0"/>
    <x v="227"/>
    <x v="2"/>
    <x v="2"/>
    <x v="0"/>
  </r>
  <r>
    <x v="231"/>
    <x v="131"/>
    <x v="1"/>
    <x v="9"/>
    <x v="8"/>
    <x v="32"/>
    <x v="230"/>
    <x v="1"/>
    <x v="228"/>
    <x v="0"/>
    <x v="0"/>
    <x v="0"/>
  </r>
  <r>
    <x v="232"/>
    <x v="132"/>
    <x v="1"/>
    <x v="1"/>
    <x v="1"/>
    <x v="34"/>
    <x v="231"/>
    <x v="0"/>
    <x v="229"/>
    <x v="0"/>
    <x v="0"/>
    <x v="0"/>
  </r>
  <r>
    <x v="233"/>
    <x v="133"/>
    <x v="3"/>
    <x v="3"/>
    <x v="11"/>
    <x v="34"/>
    <x v="232"/>
    <x v="0"/>
    <x v="230"/>
    <x v="0"/>
    <x v="0"/>
    <x v="0"/>
  </r>
  <r>
    <x v="234"/>
    <x v="134"/>
    <x v="0"/>
    <x v="0"/>
    <x v="10"/>
    <x v="6"/>
    <x v="233"/>
    <x v="0"/>
    <x v="231"/>
    <x v="0"/>
    <x v="0"/>
    <x v="0"/>
  </r>
  <r>
    <x v="235"/>
    <x v="134"/>
    <x v="1"/>
    <x v="1"/>
    <x v="8"/>
    <x v="45"/>
    <x v="234"/>
    <x v="0"/>
    <x v="232"/>
    <x v="2"/>
    <x v="2"/>
    <x v="0"/>
  </r>
  <r>
    <x v="236"/>
    <x v="134"/>
    <x v="0"/>
    <x v="10"/>
    <x v="4"/>
    <x v="13"/>
    <x v="235"/>
    <x v="0"/>
    <x v="233"/>
    <x v="0"/>
    <x v="0"/>
    <x v="0"/>
  </r>
  <r>
    <x v="237"/>
    <x v="135"/>
    <x v="3"/>
    <x v="6"/>
    <x v="11"/>
    <x v="39"/>
    <x v="236"/>
    <x v="0"/>
    <x v="234"/>
    <x v="2"/>
    <x v="2"/>
    <x v="0"/>
  </r>
  <r>
    <x v="238"/>
    <x v="136"/>
    <x v="1"/>
    <x v="1"/>
    <x v="3"/>
    <x v="38"/>
    <x v="237"/>
    <x v="0"/>
    <x v="235"/>
    <x v="2"/>
    <x v="2"/>
    <x v="0"/>
  </r>
  <r>
    <x v="239"/>
    <x v="136"/>
    <x v="2"/>
    <x v="5"/>
    <x v="6"/>
    <x v="52"/>
    <x v="238"/>
    <x v="0"/>
    <x v="236"/>
    <x v="1"/>
    <x v="1"/>
    <x v="0"/>
  </r>
  <r>
    <x v="240"/>
    <x v="137"/>
    <x v="3"/>
    <x v="6"/>
    <x v="11"/>
    <x v="42"/>
    <x v="239"/>
    <x v="0"/>
    <x v="237"/>
    <x v="0"/>
    <x v="0"/>
    <x v="0"/>
  </r>
  <r>
    <x v="241"/>
    <x v="137"/>
    <x v="0"/>
    <x v="0"/>
    <x v="4"/>
    <x v="58"/>
    <x v="240"/>
    <x v="1"/>
    <x v="238"/>
    <x v="1"/>
    <x v="1"/>
    <x v="0"/>
  </r>
  <r>
    <x v="242"/>
    <x v="137"/>
    <x v="2"/>
    <x v="5"/>
    <x v="5"/>
    <x v="14"/>
    <x v="241"/>
    <x v="0"/>
    <x v="239"/>
    <x v="0"/>
    <x v="0"/>
    <x v="0"/>
  </r>
  <r>
    <x v="243"/>
    <x v="138"/>
    <x v="0"/>
    <x v="10"/>
    <x v="10"/>
    <x v="35"/>
    <x v="32"/>
    <x v="0"/>
    <x v="240"/>
    <x v="2"/>
    <x v="2"/>
    <x v="0"/>
  </r>
  <r>
    <x v="244"/>
    <x v="139"/>
    <x v="2"/>
    <x v="5"/>
    <x v="5"/>
    <x v="32"/>
    <x v="242"/>
    <x v="0"/>
    <x v="241"/>
    <x v="0"/>
    <x v="0"/>
    <x v="0"/>
  </r>
  <r>
    <x v="245"/>
    <x v="140"/>
    <x v="4"/>
    <x v="8"/>
    <x v="9"/>
    <x v="22"/>
    <x v="243"/>
    <x v="0"/>
    <x v="242"/>
    <x v="2"/>
    <x v="2"/>
    <x v="0"/>
  </r>
  <r>
    <x v="246"/>
    <x v="141"/>
    <x v="3"/>
    <x v="6"/>
    <x v="11"/>
    <x v="5"/>
    <x v="244"/>
    <x v="0"/>
    <x v="243"/>
    <x v="2"/>
    <x v="2"/>
    <x v="0"/>
  </r>
  <r>
    <x v="247"/>
    <x v="142"/>
    <x v="3"/>
    <x v="6"/>
    <x v="3"/>
    <x v="17"/>
    <x v="245"/>
    <x v="0"/>
    <x v="244"/>
    <x v="0"/>
    <x v="0"/>
    <x v="0"/>
  </r>
  <r>
    <x v="248"/>
    <x v="143"/>
    <x v="3"/>
    <x v="6"/>
    <x v="3"/>
    <x v="16"/>
    <x v="246"/>
    <x v="0"/>
    <x v="245"/>
    <x v="2"/>
    <x v="2"/>
    <x v="0"/>
  </r>
  <r>
    <x v="249"/>
    <x v="143"/>
    <x v="3"/>
    <x v="3"/>
    <x v="6"/>
    <x v="4"/>
    <x v="247"/>
    <x v="0"/>
    <x v="246"/>
    <x v="0"/>
    <x v="0"/>
    <x v="0"/>
  </r>
  <r>
    <x v="250"/>
    <x v="144"/>
    <x v="1"/>
    <x v="1"/>
    <x v="8"/>
    <x v="12"/>
    <x v="248"/>
    <x v="0"/>
    <x v="247"/>
    <x v="0"/>
    <x v="0"/>
    <x v="0"/>
  </r>
  <r>
    <x v="251"/>
    <x v="145"/>
    <x v="1"/>
    <x v="9"/>
    <x v="1"/>
    <x v="1"/>
    <x v="249"/>
    <x v="1"/>
    <x v="248"/>
    <x v="0"/>
    <x v="0"/>
    <x v="0"/>
  </r>
  <r>
    <x v="252"/>
    <x v="146"/>
    <x v="2"/>
    <x v="5"/>
    <x v="2"/>
    <x v="52"/>
    <x v="250"/>
    <x v="0"/>
    <x v="249"/>
    <x v="1"/>
    <x v="1"/>
    <x v="0"/>
  </r>
  <r>
    <x v="253"/>
    <x v="147"/>
    <x v="1"/>
    <x v="9"/>
    <x v="8"/>
    <x v="15"/>
    <x v="251"/>
    <x v="0"/>
    <x v="250"/>
    <x v="0"/>
    <x v="0"/>
    <x v="0"/>
  </r>
  <r>
    <x v="254"/>
    <x v="147"/>
    <x v="3"/>
    <x v="3"/>
    <x v="3"/>
    <x v="0"/>
    <x v="252"/>
    <x v="0"/>
    <x v="251"/>
    <x v="0"/>
    <x v="0"/>
    <x v="0"/>
  </r>
  <r>
    <x v="255"/>
    <x v="148"/>
    <x v="1"/>
    <x v="1"/>
    <x v="1"/>
    <x v="35"/>
    <x v="253"/>
    <x v="0"/>
    <x v="252"/>
    <x v="2"/>
    <x v="2"/>
    <x v="0"/>
  </r>
  <r>
    <x v="256"/>
    <x v="149"/>
    <x v="1"/>
    <x v="9"/>
    <x v="8"/>
    <x v="6"/>
    <x v="254"/>
    <x v="0"/>
    <x v="253"/>
    <x v="0"/>
    <x v="0"/>
    <x v="0"/>
  </r>
  <r>
    <x v="257"/>
    <x v="149"/>
    <x v="3"/>
    <x v="3"/>
    <x v="11"/>
    <x v="33"/>
    <x v="255"/>
    <x v="0"/>
    <x v="254"/>
    <x v="2"/>
    <x v="2"/>
    <x v="0"/>
  </r>
  <r>
    <x v="258"/>
    <x v="150"/>
    <x v="0"/>
    <x v="0"/>
    <x v="10"/>
    <x v="17"/>
    <x v="256"/>
    <x v="0"/>
    <x v="255"/>
    <x v="0"/>
    <x v="0"/>
    <x v="0"/>
  </r>
  <r>
    <x v="259"/>
    <x v="151"/>
    <x v="3"/>
    <x v="6"/>
    <x v="11"/>
    <x v="6"/>
    <x v="257"/>
    <x v="0"/>
    <x v="256"/>
    <x v="0"/>
    <x v="0"/>
    <x v="0"/>
  </r>
  <r>
    <x v="260"/>
    <x v="152"/>
    <x v="0"/>
    <x v="10"/>
    <x v="10"/>
    <x v="34"/>
    <x v="258"/>
    <x v="0"/>
    <x v="257"/>
    <x v="0"/>
    <x v="0"/>
    <x v="0"/>
  </r>
  <r>
    <x v="261"/>
    <x v="153"/>
    <x v="2"/>
    <x v="7"/>
    <x v="2"/>
    <x v="36"/>
    <x v="259"/>
    <x v="0"/>
    <x v="258"/>
    <x v="1"/>
    <x v="1"/>
    <x v="0"/>
  </r>
  <r>
    <x v="262"/>
    <x v="153"/>
    <x v="2"/>
    <x v="5"/>
    <x v="5"/>
    <x v="6"/>
    <x v="260"/>
    <x v="0"/>
    <x v="259"/>
    <x v="0"/>
    <x v="0"/>
    <x v="0"/>
  </r>
  <r>
    <x v="263"/>
    <x v="153"/>
    <x v="2"/>
    <x v="2"/>
    <x v="5"/>
    <x v="49"/>
    <x v="261"/>
    <x v="0"/>
    <x v="260"/>
    <x v="0"/>
    <x v="0"/>
    <x v="0"/>
  </r>
  <r>
    <x v="264"/>
    <x v="153"/>
    <x v="4"/>
    <x v="8"/>
    <x v="9"/>
    <x v="50"/>
    <x v="262"/>
    <x v="0"/>
    <x v="261"/>
    <x v="4"/>
    <x v="4"/>
    <x v="0"/>
  </r>
  <r>
    <x v="265"/>
    <x v="154"/>
    <x v="2"/>
    <x v="7"/>
    <x v="5"/>
    <x v="25"/>
    <x v="263"/>
    <x v="0"/>
    <x v="262"/>
    <x v="0"/>
    <x v="0"/>
    <x v="0"/>
  </r>
  <r>
    <x v="266"/>
    <x v="155"/>
    <x v="2"/>
    <x v="2"/>
    <x v="5"/>
    <x v="49"/>
    <x v="264"/>
    <x v="0"/>
    <x v="263"/>
    <x v="0"/>
    <x v="0"/>
    <x v="0"/>
  </r>
  <r>
    <x v="267"/>
    <x v="155"/>
    <x v="3"/>
    <x v="3"/>
    <x v="11"/>
    <x v="26"/>
    <x v="265"/>
    <x v="1"/>
    <x v="264"/>
    <x v="1"/>
    <x v="1"/>
    <x v="0"/>
  </r>
  <r>
    <x v="268"/>
    <x v="156"/>
    <x v="2"/>
    <x v="7"/>
    <x v="6"/>
    <x v="20"/>
    <x v="266"/>
    <x v="0"/>
    <x v="265"/>
    <x v="0"/>
    <x v="0"/>
    <x v="0"/>
  </r>
  <r>
    <x v="269"/>
    <x v="157"/>
    <x v="3"/>
    <x v="6"/>
    <x v="11"/>
    <x v="19"/>
    <x v="267"/>
    <x v="0"/>
    <x v="266"/>
    <x v="0"/>
    <x v="0"/>
    <x v="0"/>
  </r>
  <r>
    <x v="270"/>
    <x v="158"/>
    <x v="2"/>
    <x v="7"/>
    <x v="2"/>
    <x v="11"/>
    <x v="268"/>
    <x v="0"/>
    <x v="267"/>
    <x v="0"/>
    <x v="0"/>
    <x v="0"/>
  </r>
  <r>
    <x v="271"/>
    <x v="159"/>
    <x v="1"/>
    <x v="9"/>
    <x v="8"/>
    <x v="33"/>
    <x v="269"/>
    <x v="0"/>
    <x v="268"/>
    <x v="2"/>
    <x v="2"/>
    <x v="0"/>
  </r>
  <r>
    <x v="272"/>
    <x v="160"/>
    <x v="1"/>
    <x v="1"/>
    <x v="1"/>
    <x v="34"/>
    <x v="270"/>
    <x v="0"/>
    <x v="269"/>
    <x v="0"/>
    <x v="0"/>
    <x v="0"/>
  </r>
  <r>
    <x v="273"/>
    <x v="160"/>
    <x v="2"/>
    <x v="2"/>
    <x v="2"/>
    <x v="13"/>
    <x v="271"/>
    <x v="0"/>
    <x v="270"/>
    <x v="0"/>
    <x v="0"/>
    <x v="0"/>
  </r>
  <r>
    <x v="274"/>
    <x v="160"/>
    <x v="2"/>
    <x v="2"/>
    <x v="6"/>
    <x v="20"/>
    <x v="272"/>
    <x v="0"/>
    <x v="271"/>
    <x v="0"/>
    <x v="0"/>
    <x v="0"/>
  </r>
  <r>
    <x v="275"/>
    <x v="160"/>
    <x v="2"/>
    <x v="7"/>
    <x v="5"/>
    <x v="27"/>
    <x v="273"/>
    <x v="0"/>
    <x v="272"/>
    <x v="1"/>
    <x v="1"/>
    <x v="0"/>
  </r>
  <r>
    <x v="276"/>
    <x v="161"/>
    <x v="2"/>
    <x v="7"/>
    <x v="6"/>
    <x v="45"/>
    <x v="274"/>
    <x v="0"/>
    <x v="273"/>
    <x v="2"/>
    <x v="2"/>
    <x v="0"/>
  </r>
  <r>
    <x v="277"/>
    <x v="162"/>
    <x v="2"/>
    <x v="5"/>
    <x v="2"/>
    <x v="56"/>
    <x v="275"/>
    <x v="0"/>
    <x v="274"/>
    <x v="1"/>
    <x v="1"/>
    <x v="0"/>
  </r>
  <r>
    <x v="278"/>
    <x v="163"/>
    <x v="0"/>
    <x v="10"/>
    <x v="0"/>
    <x v="11"/>
    <x v="276"/>
    <x v="0"/>
    <x v="275"/>
    <x v="0"/>
    <x v="0"/>
    <x v="0"/>
  </r>
  <r>
    <x v="279"/>
    <x v="163"/>
    <x v="2"/>
    <x v="5"/>
    <x v="6"/>
    <x v="59"/>
    <x v="277"/>
    <x v="1"/>
    <x v="276"/>
    <x v="4"/>
    <x v="4"/>
    <x v="0"/>
  </r>
  <r>
    <x v="280"/>
    <x v="164"/>
    <x v="0"/>
    <x v="10"/>
    <x v="10"/>
    <x v="6"/>
    <x v="278"/>
    <x v="0"/>
    <x v="277"/>
    <x v="0"/>
    <x v="0"/>
    <x v="0"/>
  </r>
  <r>
    <x v="281"/>
    <x v="164"/>
    <x v="1"/>
    <x v="1"/>
    <x v="8"/>
    <x v="35"/>
    <x v="279"/>
    <x v="0"/>
    <x v="278"/>
    <x v="2"/>
    <x v="2"/>
    <x v="0"/>
  </r>
  <r>
    <x v="282"/>
    <x v="164"/>
    <x v="2"/>
    <x v="5"/>
    <x v="2"/>
    <x v="34"/>
    <x v="280"/>
    <x v="0"/>
    <x v="279"/>
    <x v="0"/>
    <x v="0"/>
    <x v="0"/>
  </r>
  <r>
    <x v="283"/>
    <x v="165"/>
    <x v="4"/>
    <x v="8"/>
    <x v="7"/>
    <x v="60"/>
    <x v="281"/>
    <x v="0"/>
    <x v="280"/>
    <x v="1"/>
    <x v="1"/>
    <x v="0"/>
  </r>
  <r>
    <x v="284"/>
    <x v="166"/>
    <x v="0"/>
    <x v="10"/>
    <x v="10"/>
    <x v="4"/>
    <x v="282"/>
    <x v="0"/>
    <x v="281"/>
    <x v="0"/>
    <x v="0"/>
    <x v="0"/>
  </r>
  <r>
    <x v="285"/>
    <x v="166"/>
    <x v="2"/>
    <x v="7"/>
    <x v="2"/>
    <x v="40"/>
    <x v="283"/>
    <x v="0"/>
    <x v="282"/>
    <x v="1"/>
    <x v="1"/>
    <x v="0"/>
  </r>
  <r>
    <x v="286"/>
    <x v="166"/>
    <x v="3"/>
    <x v="6"/>
    <x v="6"/>
    <x v="19"/>
    <x v="284"/>
    <x v="0"/>
    <x v="283"/>
    <x v="0"/>
    <x v="0"/>
    <x v="0"/>
  </r>
  <r>
    <x v="287"/>
    <x v="167"/>
    <x v="4"/>
    <x v="8"/>
    <x v="7"/>
    <x v="61"/>
    <x v="285"/>
    <x v="1"/>
    <x v="284"/>
    <x v="4"/>
    <x v="4"/>
    <x v="0"/>
  </r>
  <r>
    <x v="288"/>
    <x v="167"/>
    <x v="0"/>
    <x v="10"/>
    <x v="0"/>
    <x v="33"/>
    <x v="286"/>
    <x v="0"/>
    <x v="50"/>
    <x v="2"/>
    <x v="2"/>
    <x v="0"/>
  </r>
  <r>
    <x v="289"/>
    <x v="167"/>
    <x v="2"/>
    <x v="2"/>
    <x v="2"/>
    <x v="36"/>
    <x v="287"/>
    <x v="0"/>
    <x v="285"/>
    <x v="1"/>
    <x v="1"/>
    <x v="0"/>
  </r>
  <r>
    <x v="290"/>
    <x v="168"/>
    <x v="2"/>
    <x v="2"/>
    <x v="6"/>
    <x v="19"/>
    <x v="288"/>
    <x v="0"/>
    <x v="286"/>
    <x v="0"/>
    <x v="0"/>
    <x v="0"/>
  </r>
  <r>
    <x v="291"/>
    <x v="168"/>
    <x v="1"/>
    <x v="9"/>
    <x v="1"/>
    <x v="0"/>
    <x v="289"/>
    <x v="0"/>
    <x v="287"/>
    <x v="0"/>
    <x v="0"/>
    <x v="0"/>
  </r>
  <r>
    <x v="292"/>
    <x v="169"/>
    <x v="3"/>
    <x v="6"/>
    <x v="3"/>
    <x v="38"/>
    <x v="290"/>
    <x v="0"/>
    <x v="254"/>
    <x v="2"/>
    <x v="2"/>
    <x v="0"/>
  </r>
  <r>
    <x v="293"/>
    <x v="170"/>
    <x v="4"/>
    <x v="8"/>
    <x v="4"/>
    <x v="62"/>
    <x v="291"/>
    <x v="1"/>
    <x v="288"/>
    <x v="4"/>
    <x v="4"/>
    <x v="0"/>
  </r>
  <r>
    <x v="294"/>
    <x v="171"/>
    <x v="3"/>
    <x v="3"/>
    <x v="6"/>
    <x v="38"/>
    <x v="292"/>
    <x v="0"/>
    <x v="289"/>
    <x v="2"/>
    <x v="2"/>
    <x v="0"/>
  </r>
  <r>
    <x v="295"/>
    <x v="172"/>
    <x v="1"/>
    <x v="9"/>
    <x v="8"/>
    <x v="5"/>
    <x v="293"/>
    <x v="0"/>
    <x v="290"/>
    <x v="2"/>
    <x v="2"/>
    <x v="0"/>
  </r>
  <r>
    <x v="296"/>
    <x v="173"/>
    <x v="2"/>
    <x v="2"/>
    <x v="2"/>
    <x v="34"/>
    <x v="294"/>
    <x v="0"/>
    <x v="291"/>
    <x v="0"/>
    <x v="0"/>
    <x v="0"/>
  </r>
  <r>
    <x v="297"/>
    <x v="173"/>
    <x v="2"/>
    <x v="5"/>
    <x v="5"/>
    <x v="4"/>
    <x v="295"/>
    <x v="0"/>
    <x v="292"/>
    <x v="0"/>
    <x v="0"/>
    <x v="0"/>
  </r>
  <r>
    <x v="298"/>
    <x v="174"/>
    <x v="2"/>
    <x v="2"/>
    <x v="2"/>
    <x v="11"/>
    <x v="296"/>
    <x v="0"/>
    <x v="293"/>
    <x v="0"/>
    <x v="0"/>
    <x v="0"/>
  </r>
  <r>
    <x v="299"/>
    <x v="174"/>
    <x v="3"/>
    <x v="3"/>
    <x v="6"/>
    <x v="18"/>
    <x v="297"/>
    <x v="0"/>
    <x v="294"/>
    <x v="0"/>
    <x v="0"/>
    <x v="0"/>
  </r>
  <r>
    <x v="300"/>
    <x v="174"/>
    <x v="1"/>
    <x v="9"/>
    <x v="8"/>
    <x v="12"/>
    <x v="134"/>
    <x v="0"/>
    <x v="295"/>
    <x v="0"/>
    <x v="0"/>
    <x v="0"/>
  </r>
  <r>
    <x v="301"/>
    <x v="175"/>
    <x v="1"/>
    <x v="1"/>
    <x v="3"/>
    <x v="4"/>
    <x v="298"/>
    <x v="0"/>
    <x v="296"/>
    <x v="0"/>
    <x v="0"/>
    <x v="0"/>
  </r>
  <r>
    <x v="302"/>
    <x v="176"/>
    <x v="2"/>
    <x v="2"/>
    <x v="2"/>
    <x v="10"/>
    <x v="299"/>
    <x v="0"/>
    <x v="297"/>
    <x v="0"/>
    <x v="0"/>
    <x v="0"/>
  </r>
  <r>
    <x v="303"/>
    <x v="176"/>
    <x v="3"/>
    <x v="3"/>
    <x v="11"/>
    <x v="49"/>
    <x v="300"/>
    <x v="0"/>
    <x v="298"/>
    <x v="0"/>
    <x v="0"/>
    <x v="0"/>
  </r>
  <r>
    <x v="304"/>
    <x v="177"/>
    <x v="2"/>
    <x v="2"/>
    <x v="2"/>
    <x v="53"/>
    <x v="301"/>
    <x v="0"/>
    <x v="299"/>
    <x v="2"/>
    <x v="2"/>
    <x v="0"/>
  </r>
  <r>
    <x v="305"/>
    <x v="178"/>
    <x v="2"/>
    <x v="7"/>
    <x v="5"/>
    <x v="34"/>
    <x v="302"/>
    <x v="0"/>
    <x v="300"/>
    <x v="0"/>
    <x v="0"/>
    <x v="0"/>
  </r>
  <r>
    <x v="306"/>
    <x v="178"/>
    <x v="2"/>
    <x v="2"/>
    <x v="2"/>
    <x v="15"/>
    <x v="303"/>
    <x v="0"/>
    <x v="301"/>
    <x v="0"/>
    <x v="0"/>
    <x v="0"/>
  </r>
  <r>
    <x v="307"/>
    <x v="178"/>
    <x v="3"/>
    <x v="6"/>
    <x v="11"/>
    <x v="15"/>
    <x v="304"/>
    <x v="0"/>
    <x v="302"/>
    <x v="0"/>
    <x v="0"/>
    <x v="0"/>
  </r>
  <r>
    <x v="308"/>
    <x v="179"/>
    <x v="3"/>
    <x v="6"/>
    <x v="6"/>
    <x v="17"/>
    <x v="305"/>
    <x v="0"/>
    <x v="303"/>
    <x v="0"/>
    <x v="0"/>
    <x v="0"/>
  </r>
  <r>
    <x v="309"/>
    <x v="179"/>
    <x v="2"/>
    <x v="2"/>
    <x v="6"/>
    <x v="14"/>
    <x v="306"/>
    <x v="0"/>
    <x v="304"/>
    <x v="0"/>
    <x v="0"/>
    <x v="0"/>
  </r>
  <r>
    <x v="310"/>
    <x v="180"/>
    <x v="4"/>
    <x v="4"/>
    <x v="9"/>
    <x v="8"/>
    <x v="307"/>
    <x v="0"/>
    <x v="305"/>
    <x v="0"/>
    <x v="0"/>
    <x v="0"/>
  </r>
  <r>
    <x v="311"/>
    <x v="180"/>
    <x v="0"/>
    <x v="10"/>
    <x v="4"/>
    <x v="10"/>
    <x v="308"/>
    <x v="0"/>
    <x v="306"/>
    <x v="0"/>
    <x v="0"/>
    <x v="0"/>
  </r>
  <r>
    <x v="312"/>
    <x v="181"/>
    <x v="3"/>
    <x v="6"/>
    <x v="6"/>
    <x v="45"/>
    <x v="309"/>
    <x v="0"/>
    <x v="307"/>
    <x v="2"/>
    <x v="2"/>
    <x v="0"/>
  </r>
  <r>
    <x v="313"/>
    <x v="181"/>
    <x v="0"/>
    <x v="0"/>
    <x v="4"/>
    <x v="42"/>
    <x v="310"/>
    <x v="0"/>
    <x v="308"/>
    <x v="0"/>
    <x v="0"/>
    <x v="0"/>
  </r>
  <r>
    <x v="314"/>
    <x v="182"/>
    <x v="1"/>
    <x v="9"/>
    <x v="8"/>
    <x v="0"/>
    <x v="311"/>
    <x v="0"/>
    <x v="309"/>
    <x v="0"/>
    <x v="0"/>
    <x v="0"/>
  </r>
  <r>
    <x v="315"/>
    <x v="182"/>
    <x v="3"/>
    <x v="3"/>
    <x v="3"/>
    <x v="10"/>
    <x v="312"/>
    <x v="0"/>
    <x v="310"/>
    <x v="0"/>
    <x v="0"/>
    <x v="0"/>
  </r>
  <r>
    <x v="316"/>
    <x v="183"/>
    <x v="3"/>
    <x v="3"/>
    <x v="3"/>
    <x v="35"/>
    <x v="313"/>
    <x v="0"/>
    <x v="311"/>
    <x v="2"/>
    <x v="2"/>
    <x v="0"/>
  </r>
  <r>
    <x v="317"/>
    <x v="184"/>
    <x v="2"/>
    <x v="5"/>
    <x v="2"/>
    <x v="6"/>
    <x v="314"/>
    <x v="0"/>
    <x v="312"/>
    <x v="0"/>
    <x v="0"/>
    <x v="0"/>
  </r>
  <r>
    <x v="318"/>
    <x v="184"/>
    <x v="1"/>
    <x v="1"/>
    <x v="3"/>
    <x v="34"/>
    <x v="315"/>
    <x v="0"/>
    <x v="313"/>
    <x v="0"/>
    <x v="0"/>
    <x v="0"/>
  </r>
  <r>
    <x v="319"/>
    <x v="184"/>
    <x v="1"/>
    <x v="1"/>
    <x v="8"/>
    <x v="16"/>
    <x v="316"/>
    <x v="0"/>
    <x v="314"/>
    <x v="2"/>
    <x v="2"/>
    <x v="0"/>
  </r>
  <r>
    <x v="320"/>
    <x v="185"/>
    <x v="2"/>
    <x v="5"/>
    <x v="2"/>
    <x v="1"/>
    <x v="317"/>
    <x v="0"/>
    <x v="315"/>
    <x v="0"/>
    <x v="0"/>
    <x v="0"/>
  </r>
  <r>
    <x v="321"/>
    <x v="186"/>
    <x v="4"/>
    <x v="4"/>
    <x v="9"/>
    <x v="26"/>
    <x v="318"/>
    <x v="0"/>
    <x v="316"/>
    <x v="1"/>
    <x v="1"/>
    <x v="0"/>
  </r>
  <r>
    <x v="322"/>
    <x v="187"/>
    <x v="4"/>
    <x v="4"/>
    <x v="9"/>
    <x v="63"/>
    <x v="319"/>
    <x v="1"/>
    <x v="317"/>
    <x v="3"/>
    <x v="3"/>
    <x v="0"/>
  </r>
  <r>
    <x v="323"/>
    <x v="188"/>
    <x v="1"/>
    <x v="9"/>
    <x v="1"/>
    <x v="28"/>
    <x v="320"/>
    <x v="0"/>
    <x v="318"/>
    <x v="2"/>
    <x v="2"/>
    <x v="0"/>
  </r>
  <r>
    <x v="324"/>
    <x v="189"/>
    <x v="3"/>
    <x v="6"/>
    <x v="3"/>
    <x v="18"/>
    <x v="321"/>
    <x v="0"/>
    <x v="319"/>
    <x v="0"/>
    <x v="0"/>
    <x v="0"/>
  </r>
  <r>
    <x v="325"/>
    <x v="189"/>
    <x v="4"/>
    <x v="8"/>
    <x v="7"/>
    <x v="11"/>
    <x v="322"/>
    <x v="0"/>
    <x v="320"/>
    <x v="0"/>
    <x v="0"/>
    <x v="0"/>
  </r>
  <r>
    <x v="326"/>
    <x v="189"/>
    <x v="2"/>
    <x v="2"/>
    <x v="2"/>
    <x v="56"/>
    <x v="323"/>
    <x v="0"/>
    <x v="321"/>
    <x v="1"/>
    <x v="1"/>
    <x v="0"/>
  </r>
  <r>
    <x v="327"/>
    <x v="190"/>
    <x v="0"/>
    <x v="0"/>
    <x v="4"/>
    <x v="22"/>
    <x v="324"/>
    <x v="0"/>
    <x v="322"/>
    <x v="2"/>
    <x v="2"/>
    <x v="0"/>
  </r>
  <r>
    <x v="328"/>
    <x v="190"/>
    <x v="2"/>
    <x v="2"/>
    <x v="6"/>
    <x v="43"/>
    <x v="325"/>
    <x v="1"/>
    <x v="323"/>
    <x v="4"/>
    <x v="4"/>
    <x v="0"/>
  </r>
  <r>
    <x v="329"/>
    <x v="191"/>
    <x v="2"/>
    <x v="2"/>
    <x v="5"/>
    <x v="57"/>
    <x v="326"/>
    <x v="1"/>
    <x v="324"/>
    <x v="4"/>
    <x v="4"/>
    <x v="0"/>
  </r>
  <r>
    <x v="330"/>
    <x v="192"/>
    <x v="2"/>
    <x v="7"/>
    <x v="2"/>
    <x v="53"/>
    <x v="327"/>
    <x v="0"/>
    <x v="325"/>
    <x v="2"/>
    <x v="2"/>
    <x v="0"/>
  </r>
  <r>
    <x v="331"/>
    <x v="193"/>
    <x v="2"/>
    <x v="5"/>
    <x v="5"/>
    <x v="37"/>
    <x v="328"/>
    <x v="1"/>
    <x v="326"/>
    <x v="4"/>
    <x v="4"/>
    <x v="0"/>
  </r>
  <r>
    <x v="332"/>
    <x v="194"/>
    <x v="3"/>
    <x v="3"/>
    <x v="6"/>
    <x v="4"/>
    <x v="329"/>
    <x v="0"/>
    <x v="327"/>
    <x v="0"/>
    <x v="0"/>
    <x v="0"/>
  </r>
  <r>
    <x v="333"/>
    <x v="194"/>
    <x v="0"/>
    <x v="0"/>
    <x v="10"/>
    <x v="18"/>
    <x v="330"/>
    <x v="0"/>
    <x v="328"/>
    <x v="0"/>
    <x v="0"/>
    <x v="0"/>
  </r>
  <r>
    <x v="334"/>
    <x v="195"/>
    <x v="2"/>
    <x v="2"/>
    <x v="5"/>
    <x v="32"/>
    <x v="331"/>
    <x v="0"/>
    <x v="329"/>
    <x v="0"/>
    <x v="0"/>
    <x v="0"/>
  </r>
  <r>
    <x v="335"/>
    <x v="195"/>
    <x v="4"/>
    <x v="4"/>
    <x v="9"/>
    <x v="0"/>
    <x v="332"/>
    <x v="0"/>
    <x v="330"/>
    <x v="0"/>
    <x v="0"/>
    <x v="0"/>
  </r>
  <r>
    <x v="336"/>
    <x v="195"/>
    <x v="3"/>
    <x v="3"/>
    <x v="3"/>
    <x v="10"/>
    <x v="333"/>
    <x v="0"/>
    <x v="331"/>
    <x v="0"/>
    <x v="0"/>
    <x v="0"/>
  </r>
  <r>
    <x v="337"/>
    <x v="195"/>
    <x v="3"/>
    <x v="3"/>
    <x v="6"/>
    <x v="20"/>
    <x v="334"/>
    <x v="0"/>
    <x v="332"/>
    <x v="0"/>
    <x v="0"/>
    <x v="0"/>
  </r>
  <r>
    <x v="338"/>
    <x v="196"/>
    <x v="0"/>
    <x v="0"/>
    <x v="10"/>
    <x v="25"/>
    <x v="335"/>
    <x v="0"/>
    <x v="333"/>
    <x v="0"/>
    <x v="0"/>
    <x v="0"/>
  </r>
  <r>
    <x v="339"/>
    <x v="197"/>
    <x v="3"/>
    <x v="3"/>
    <x v="6"/>
    <x v="21"/>
    <x v="336"/>
    <x v="0"/>
    <x v="334"/>
    <x v="2"/>
    <x v="2"/>
    <x v="0"/>
  </r>
  <r>
    <x v="340"/>
    <x v="198"/>
    <x v="2"/>
    <x v="2"/>
    <x v="5"/>
    <x v="42"/>
    <x v="337"/>
    <x v="0"/>
    <x v="335"/>
    <x v="0"/>
    <x v="0"/>
    <x v="0"/>
  </r>
  <r>
    <x v="341"/>
    <x v="198"/>
    <x v="3"/>
    <x v="3"/>
    <x v="6"/>
    <x v="36"/>
    <x v="338"/>
    <x v="1"/>
    <x v="336"/>
    <x v="1"/>
    <x v="1"/>
    <x v="0"/>
  </r>
  <r>
    <x v="342"/>
    <x v="198"/>
    <x v="4"/>
    <x v="8"/>
    <x v="7"/>
    <x v="19"/>
    <x v="339"/>
    <x v="0"/>
    <x v="337"/>
    <x v="0"/>
    <x v="0"/>
    <x v="0"/>
  </r>
  <r>
    <x v="343"/>
    <x v="199"/>
    <x v="3"/>
    <x v="3"/>
    <x v="11"/>
    <x v="11"/>
    <x v="340"/>
    <x v="0"/>
    <x v="338"/>
    <x v="0"/>
    <x v="0"/>
    <x v="0"/>
  </r>
  <r>
    <x v="344"/>
    <x v="199"/>
    <x v="0"/>
    <x v="10"/>
    <x v="4"/>
    <x v="4"/>
    <x v="341"/>
    <x v="0"/>
    <x v="339"/>
    <x v="0"/>
    <x v="0"/>
    <x v="0"/>
  </r>
  <r>
    <x v="345"/>
    <x v="199"/>
    <x v="4"/>
    <x v="8"/>
    <x v="9"/>
    <x v="64"/>
    <x v="342"/>
    <x v="1"/>
    <x v="340"/>
    <x v="3"/>
    <x v="3"/>
    <x v="0"/>
  </r>
  <r>
    <x v="346"/>
    <x v="200"/>
    <x v="2"/>
    <x v="7"/>
    <x v="6"/>
    <x v="65"/>
    <x v="343"/>
    <x v="1"/>
    <x v="341"/>
    <x v="1"/>
    <x v="1"/>
    <x v="0"/>
  </r>
  <r>
    <x v="347"/>
    <x v="200"/>
    <x v="3"/>
    <x v="6"/>
    <x v="6"/>
    <x v="42"/>
    <x v="344"/>
    <x v="0"/>
    <x v="342"/>
    <x v="0"/>
    <x v="0"/>
    <x v="0"/>
  </r>
  <r>
    <x v="348"/>
    <x v="201"/>
    <x v="1"/>
    <x v="1"/>
    <x v="3"/>
    <x v="35"/>
    <x v="345"/>
    <x v="0"/>
    <x v="343"/>
    <x v="2"/>
    <x v="2"/>
    <x v="0"/>
  </r>
  <r>
    <x v="349"/>
    <x v="202"/>
    <x v="4"/>
    <x v="4"/>
    <x v="7"/>
    <x v="15"/>
    <x v="346"/>
    <x v="0"/>
    <x v="344"/>
    <x v="0"/>
    <x v="0"/>
    <x v="0"/>
  </r>
  <r>
    <x v="350"/>
    <x v="203"/>
    <x v="4"/>
    <x v="8"/>
    <x v="7"/>
    <x v="60"/>
    <x v="347"/>
    <x v="0"/>
    <x v="345"/>
    <x v="1"/>
    <x v="1"/>
    <x v="0"/>
  </r>
  <r>
    <x v="351"/>
    <x v="203"/>
    <x v="0"/>
    <x v="10"/>
    <x v="10"/>
    <x v="8"/>
    <x v="18"/>
    <x v="0"/>
    <x v="346"/>
    <x v="0"/>
    <x v="0"/>
    <x v="0"/>
  </r>
  <r>
    <x v="352"/>
    <x v="203"/>
    <x v="3"/>
    <x v="6"/>
    <x v="3"/>
    <x v="10"/>
    <x v="348"/>
    <x v="0"/>
    <x v="347"/>
    <x v="0"/>
    <x v="0"/>
    <x v="0"/>
  </r>
  <r>
    <x v="353"/>
    <x v="203"/>
    <x v="1"/>
    <x v="1"/>
    <x v="8"/>
    <x v="44"/>
    <x v="349"/>
    <x v="0"/>
    <x v="348"/>
    <x v="2"/>
    <x v="2"/>
    <x v="0"/>
  </r>
  <r>
    <x v="354"/>
    <x v="204"/>
    <x v="4"/>
    <x v="4"/>
    <x v="7"/>
    <x v="20"/>
    <x v="350"/>
    <x v="0"/>
    <x v="349"/>
    <x v="0"/>
    <x v="0"/>
    <x v="0"/>
  </r>
  <r>
    <x v="355"/>
    <x v="204"/>
    <x v="0"/>
    <x v="0"/>
    <x v="10"/>
    <x v="20"/>
    <x v="351"/>
    <x v="0"/>
    <x v="350"/>
    <x v="0"/>
    <x v="0"/>
    <x v="0"/>
  </r>
  <r>
    <x v="356"/>
    <x v="204"/>
    <x v="1"/>
    <x v="1"/>
    <x v="1"/>
    <x v="11"/>
    <x v="352"/>
    <x v="0"/>
    <x v="351"/>
    <x v="0"/>
    <x v="0"/>
    <x v="0"/>
  </r>
  <r>
    <x v="357"/>
    <x v="205"/>
    <x v="1"/>
    <x v="9"/>
    <x v="8"/>
    <x v="11"/>
    <x v="353"/>
    <x v="0"/>
    <x v="352"/>
    <x v="0"/>
    <x v="0"/>
    <x v="0"/>
  </r>
  <r>
    <x v="358"/>
    <x v="206"/>
    <x v="2"/>
    <x v="7"/>
    <x v="5"/>
    <x v="49"/>
    <x v="354"/>
    <x v="0"/>
    <x v="353"/>
    <x v="0"/>
    <x v="0"/>
    <x v="0"/>
  </r>
  <r>
    <x v="359"/>
    <x v="206"/>
    <x v="1"/>
    <x v="1"/>
    <x v="8"/>
    <x v="12"/>
    <x v="355"/>
    <x v="0"/>
    <x v="354"/>
    <x v="0"/>
    <x v="0"/>
    <x v="0"/>
  </r>
  <r>
    <x v="360"/>
    <x v="206"/>
    <x v="4"/>
    <x v="8"/>
    <x v="9"/>
    <x v="66"/>
    <x v="356"/>
    <x v="1"/>
    <x v="355"/>
    <x v="4"/>
    <x v="4"/>
    <x v="0"/>
  </r>
  <r>
    <x v="361"/>
    <x v="207"/>
    <x v="2"/>
    <x v="5"/>
    <x v="2"/>
    <x v="29"/>
    <x v="357"/>
    <x v="1"/>
    <x v="66"/>
    <x v="1"/>
    <x v="1"/>
    <x v="0"/>
  </r>
  <r>
    <x v="362"/>
    <x v="207"/>
    <x v="2"/>
    <x v="7"/>
    <x v="5"/>
    <x v="4"/>
    <x v="358"/>
    <x v="0"/>
    <x v="356"/>
    <x v="0"/>
    <x v="0"/>
    <x v="0"/>
  </r>
  <r>
    <x v="363"/>
    <x v="208"/>
    <x v="4"/>
    <x v="4"/>
    <x v="7"/>
    <x v="7"/>
    <x v="359"/>
    <x v="0"/>
    <x v="357"/>
    <x v="1"/>
    <x v="1"/>
    <x v="0"/>
  </r>
  <r>
    <x v="364"/>
    <x v="208"/>
    <x v="2"/>
    <x v="2"/>
    <x v="5"/>
    <x v="51"/>
    <x v="360"/>
    <x v="0"/>
    <x v="358"/>
    <x v="1"/>
    <x v="1"/>
    <x v="0"/>
  </r>
  <r>
    <x v="365"/>
    <x v="209"/>
    <x v="2"/>
    <x v="5"/>
    <x v="2"/>
    <x v="37"/>
    <x v="361"/>
    <x v="1"/>
    <x v="359"/>
    <x v="4"/>
    <x v="4"/>
    <x v="0"/>
  </r>
  <r>
    <x v="366"/>
    <x v="210"/>
    <x v="2"/>
    <x v="5"/>
    <x v="6"/>
    <x v="9"/>
    <x v="362"/>
    <x v="1"/>
    <x v="360"/>
    <x v="1"/>
    <x v="1"/>
    <x v="0"/>
  </r>
  <r>
    <x v="367"/>
    <x v="210"/>
    <x v="3"/>
    <x v="3"/>
    <x v="6"/>
    <x v="0"/>
    <x v="363"/>
    <x v="0"/>
    <x v="361"/>
    <x v="0"/>
    <x v="0"/>
    <x v="0"/>
  </r>
  <r>
    <x v="368"/>
    <x v="211"/>
    <x v="1"/>
    <x v="1"/>
    <x v="8"/>
    <x v="20"/>
    <x v="364"/>
    <x v="1"/>
    <x v="362"/>
    <x v="0"/>
    <x v="0"/>
    <x v="0"/>
  </r>
  <r>
    <x v="369"/>
    <x v="212"/>
    <x v="2"/>
    <x v="5"/>
    <x v="6"/>
    <x v="33"/>
    <x v="365"/>
    <x v="0"/>
    <x v="363"/>
    <x v="2"/>
    <x v="2"/>
    <x v="0"/>
  </r>
  <r>
    <x v="370"/>
    <x v="213"/>
    <x v="3"/>
    <x v="3"/>
    <x v="6"/>
    <x v="18"/>
    <x v="366"/>
    <x v="0"/>
    <x v="364"/>
    <x v="0"/>
    <x v="0"/>
    <x v="0"/>
  </r>
  <r>
    <x v="371"/>
    <x v="214"/>
    <x v="4"/>
    <x v="8"/>
    <x v="4"/>
    <x v="49"/>
    <x v="367"/>
    <x v="0"/>
    <x v="365"/>
    <x v="0"/>
    <x v="0"/>
    <x v="0"/>
  </r>
  <r>
    <x v="372"/>
    <x v="215"/>
    <x v="2"/>
    <x v="7"/>
    <x v="6"/>
    <x v="20"/>
    <x v="368"/>
    <x v="0"/>
    <x v="366"/>
    <x v="0"/>
    <x v="0"/>
    <x v="0"/>
  </r>
  <r>
    <x v="373"/>
    <x v="215"/>
    <x v="1"/>
    <x v="1"/>
    <x v="3"/>
    <x v="22"/>
    <x v="369"/>
    <x v="0"/>
    <x v="367"/>
    <x v="2"/>
    <x v="2"/>
    <x v="0"/>
  </r>
  <r>
    <x v="374"/>
    <x v="216"/>
    <x v="4"/>
    <x v="4"/>
    <x v="7"/>
    <x v="19"/>
    <x v="370"/>
    <x v="0"/>
    <x v="368"/>
    <x v="0"/>
    <x v="0"/>
    <x v="0"/>
  </r>
  <r>
    <x v="375"/>
    <x v="216"/>
    <x v="0"/>
    <x v="10"/>
    <x v="4"/>
    <x v="65"/>
    <x v="371"/>
    <x v="1"/>
    <x v="369"/>
    <x v="1"/>
    <x v="1"/>
    <x v="0"/>
  </r>
  <r>
    <x v="376"/>
    <x v="217"/>
    <x v="0"/>
    <x v="0"/>
    <x v="10"/>
    <x v="67"/>
    <x v="372"/>
    <x v="1"/>
    <x v="370"/>
    <x v="1"/>
    <x v="1"/>
    <x v="0"/>
  </r>
  <r>
    <x v="377"/>
    <x v="217"/>
    <x v="1"/>
    <x v="9"/>
    <x v="8"/>
    <x v="13"/>
    <x v="373"/>
    <x v="1"/>
    <x v="371"/>
    <x v="0"/>
    <x v="0"/>
    <x v="0"/>
  </r>
  <r>
    <x v="378"/>
    <x v="218"/>
    <x v="3"/>
    <x v="6"/>
    <x v="6"/>
    <x v="0"/>
    <x v="374"/>
    <x v="0"/>
    <x v="372"/>
    <x v="0"/>
    <x v="0"/>
    <x v="0"/>
  </r>
  <r>
    <x v="379"/>
    <x v="219"/>
    <x v="1"/>
    <x v="9"/>
    <x v="8"/>
    <x v="21"/>
    <x v="375"/>
    <x v="0"/>
    <x v="373"/>
    <x v="2"/>
    <x v="2"/>
    <x v="0"/>
  </r>
  <r>
    <x v="380"/>
    <x v="220"/>
    <x v="4"/>
    <x v="8"/>
    <x v="9"/>
    <x v="13"/>
    <x v="376"/>
    <x v="0"/>
    <x v="374"/>
    <x v="0"/>
    <x v="0"/>
    <x v="0"/>
  </r>
  <r>
    <x v="381"/>
    <x v="221"/>
    <x v="2"/>
    <x v="5"/>
    <x v="6"/>
    <x v="51"/>
    <x v="377"/>
    <x v="0"/>
    <x v="375"/>
    <x v="1"/>
    <x v="1"/>
    <x v="0"/>
  </r>
  <r>
    <x v="382"/>
    <x v="221"/>
    <x v="2"/>
    <x v="7"/>
    <x v="2"/>
    <x v="55"/>
    <x v="378"/>
    <x v="1"/>
    <x v="376"/>
    <x v="4"/>
    <x v="4"/>
    <x v="0"/>
  </r>
  <r>
    <x v="383"/>
    <x v="221"/>
    <x v="2"/>
    <x v="7"/>
    <x v="5"/>
    <x v="53"/>
    <x v="379"/>
    <x v="0"/>
    <x v="377"/>
    <x v="2"/>
    <x v="2"/>
    <x v="0"/>
  </r>
  <r>
    <x v="384"/>
    <x v="221"/>
    <x v="0"/>
    <x v="0"/>
    <x v="0"/>
    <x v="22"/>
    <x v="380"/>
    <x v="0"/>
    <x v="378"/>
    <x v="2"/>
    <x v="2"/>
    <x v="0"/>
  </r>
  <r>
    <x v="385"/>
    <x v="222"/>
    <x v="1"/>
    <x v="1"/>
    <x v="3"/>
    <x v="11"/>
    <x v="381"/>
    <x v="0"/>
    <x v="379"/>
    <x v="0"/>
    <x v="0"/>
    <x v="0"/>
  </r>
  <r>
    <x v="386"/>
    <x v="222"/>
    <x v="3"/>
    <x v="6"/>
    <x v="6"/>
    <x v="18"/>
    <x v="247"/>
    <x v="0"/>
    <x v="380"/>
    <x v="0"/>
    <x v="0"/>
    <x v="0"/>
  </r>
  <r>
    <x v="387"/>
    <x v="222"/>
    <x v="1"/>
    <x v="1"/>
    <x v="8"/>
    <x v="32"/>
    <x v="382"/>
    <x v="1"/>
    <x v="381"/>
    <x v="0"/>
    <x v="0"/>
    <x v="0"/>
  </r>
  <r>
    <x v="388"/>
    <x v="222"/>
    <x v="2"/>
    <x v="2"/>
    <x v="2"/>
    <x v="4"/>
    <x v="383"/>
    <x v="0"/>
    <x v="382"/>
    <x v="0"/>
    <x v="0"/>
    <x v="0"/>
  </r>
  <r>
    <x v="389"/>
    <x v="223"/>
    <x v="2"/>
    <x v="7"/>
    <x v="2"/>
    <x v="4"/>
    <x v="384"/>
    <x v="0"/>
    <x v="383"/>
    <x v="0"/>
    <x v="0"/>
    <x v="0"/>
  </r>
  <r>
    <x v="390"/>
    <x v="223"/>
    <x v="4"/>
    <x v="4"/>
    <x v="9"/>
    <x v="48"/>
    <x v="385"/>
    <x v="0"/>
    <x v="384"/>
    <x v="1"/>
    <x v="1"/>
    <x v="0"/>
  </r>
  <r>
    <x v="391"/>
    <x v="224"/>
    <x v="4"/>
    <x v="4"/>
    <x v="9"/>
    <x v="34"/>
    <x v="386"/>
    <x v="0"/>
    <x v="385"/>
    <x v="0"/>
    <x v="0"/>
    <x v="0"/>
  </r>
  <r>
    <x v="392"/>
    <x v="224"/>
    <x v="1"/>
    <x v="9"/>
    <x v="8"/>
    <x v="53"/>
    <x v="387"/>
    <x v="0"/>
    <x v="386"/>
    <x v="2"/>
    <x v="2"/>
    <x v="0"/>
  </r>
  <r>
    <x v="393"/>
    <x v="224"/>
    <x v="4"/>
    <x v="4"/>
    <x v="9"/>
    <x v="13"/>
    <x v="388"/>
    <x v="0"/>
    <x v="387"/>
    <x v="0"/>
    <x v="0"/>
    <x v="0"/>
  </r>
  <r>
    <x v="394"/>
    <x v="225"/>
    <x v="1"/>
    <x v="1"/>
    <x v="3"/>
    <x v="22"/>
    <x v="389"/>
    <x v="0"/>
    <x v="388"/>
    <x v="2"/>
    <x v="2"/>
    <x v="0"/>
  </r>
  <r>
    <x v="395"/>
    <x v="225"/>
    <x v="2"/>
    <x v="2"/>
    <x v="2"/>
    <x v="9"/>
    <x v="390"/>
    <x v="1"/>
    <x v="389"/>
    <x v="1"/>
    <x v="1"/>
    <x v="0"/>
  </r>
  <r>
    <x v="396"/>
    <x v="226"/>
    <x v="4"/>
    <x v="4"/>
    <x v="4"/>
    <x v="13"/>
    <x v="391"/>
    <x v="0"/>
    <x v="390"/>
    <x v="0"/>
    <x v="0"/>
    <x v="0"/>
  </r>
  <r>
    <x v="397"/>
    <x v="227"/>
    <x v="3"/>
    <x v="3"/>
    <x v="3"/>
    <x v="48"/>
    <x v="392"/>
    <x v="1"/>
    <x v="391"/>
    <x v="1"/>
    <x v="1"/>
    <x v="0"/>
  </r>
  <r>
    <x v="398"/>
    <x v="228"/>
    <x v="3"/>
    <x v="6"/>
    <x v="3"/>
    <x v="11"/>
    <x v="207"/>
    <x v="0"/>
    <x v="206"/>
    <x v="0"/>
    <x v="0"/>
    <x v="0"/>
  </r>
  <r>
    <x v="399"/>
    <x v="229"/>
    <x v="5"/>
    <x v="11"/>
    <x v="12"/>
    <x v="68"/>
    <x v="393"/>
    <x v="2"/>
    <x v="392"/>
    <x v="5"/>
    <x v="5"/>
    <x v="1"/>
  </r>
  <r>
    <x v="400"/>
    <x v="229"/>
    <x v="5"/>
    <x v="11"/>
    <x v="12"/>
    <x v="68"/>
    <x v="393"/>
    <x v="2"/>
    <x v="392"/>
    <x v="5"/>
    <x v="5"/>
    <x v="1"/>
  </r>
  <r>
    <x v="401"/>
    <x v="229"/>
    <x v="5"/>
    <x v="11"/>
    <x v="12"/>
    <x v="68"/>
    <x v="393"/>
    <x v="2"/>
    <x v="392"/>
    <x v="5"/>
    <x v="5"/>
    <x v="1"/>
  </r>
  <r>
    <x v="402"/>
    <x v="229"/>
    <x v="5"/>
    <x v="11"/>
    <x v="12"/>
    <x v="68"/>
    <x v="393"/>
    <x v="2"/>
    <x v="392"/>
    <x v="5"/>
    <x v="5"/>
    <x v="1"/>
  </r>
  <r>
    <x v="403"/>
    <x v="229"/>
    <x v="5"/>
    <x v="11"/>
    <x v="12"/>
    <x v="68"/>
    <x v="393"/>
    <x v="2"/>
    <x v="392"/>
    <x v="5"/>
    <x v="5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</Relationships>
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</Relationships>
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</Relationships>
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</Relationships>
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6.xml"/></Relationships>
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7.xml"/></Relationships>

</file>

<file path=xl/pivotTables/pivotTable1.xml><?xml version="1.0" encoding="utf-8"?>
<pivotTableDefinition xmlns="http://schemas.openxmlformats.org/spreadsheetml/2006/main" name="Summe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D9" firstHeaderRow="1" firstDataRow="2" firstDataCol="1"/>
  <pivotFields count="9">
    <pivotField name="VorgangsID" axis="axisValues" dataField="1" compact="0" outline="0" showAll="0"/>
    <pivotField name="Datum" compact="0" outline="0" showAll="0">
      <items count="2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 sd="0"/>
      </items>
    </pivotField>
    <pivotField name="Abteilung" axis="axisRow" compact="0" numFmtId="49" outline="0" showAll="0" sortType="ascending">
      <items count="6">
        <item x="0"/>
        <item x="4"/>
        <item x="1"/>
        <item x="3"/>
        <item x="2"/>
        <item t="default" sd="0"/>
      </items>
    </pivotField>
    <pivotField name="Bearbeiter" compact="0" outline="0" showAll="0">
      <items count="12">
        <item x="6"/>
        <item x="10"/>
        <item x="9"/>
        <item x="2"/>
        <item x="0"/>
        <item x="7"/>
        <item x="4"/>
        <item x="3"/>
        <item x="1"/>
        <item x="8"/>
        <item x="5"/>
        <item t="default" sd="0"/>
      </items>
    </pivotField>
    <pivotField name="Vorgangstyp" compact="0" outline="0" showAll="0">
      <items count="13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t="default" sd="0"/>
      </items>
    </pivotField>
    <pivotField name="Bearbeitungsdauer_Min" axis="axisValues" dataField="1" compact="0" outline="0" showAll="0"/>
    <pivotField name="Kosten_EUR" axis="axisValues" dataField="1" compact="0" outline="0" showAll="0"/>
    <pivotField name="SLA_Status" compact="0" outline="0" showAll="0">
      <items count="3">
        <item x="0"/>
        <item x="1"/>
        <item t="default" sd="0"/>
      </items>
    </pivotField>
    <pivotField name=" " compact="0" outline="0" showAll="0">
      <items count="2">
        <item sd="0" x="0"/>
        <item t="default" sd="0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 von Kosten_EUR" fld="6" numFmtId="1"/>
    <dataField name="Zählen (alle) von VorgangsID" fld="0" subtotal="count"/>
    <dataField name="Mittelwert von Bearbeitungsdauer_Min" fld="5" subtotal="average"/>
  </dataFields>
  <pivotTableStyleInfo name="PivotStyleCustom01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Summe" cacheId="1" dataPosition="0" autoFormatId="0" applyNumberFormats="0" applyBorderFormats="0" applyFontFormats="0" applyPatternFormats="0" applyAlignmentFormats="0" applyWidthHeightFormats="1" dataCaption="" missingCaption="" pivotTableStyle="PivotStyleCustom02" updatedVersion="7" useAutoFormatting="1" createdVersion="7" indent="0" showEmptyCol="1" showEmptyRow="1" compact="0" compactData="0" multipleFieldFilters="0">
  <location ref="A2:B15" firstHeaderRow="1" firstDataRow="1" firstDataCol="1"/>
  <pivotFields count="9">
    <pivotField name="VorgangsID" axis="axisValues" dataField="1" compact="0" outline="0" showAll="0"/>
    <pivotField name="Datum" axis="axisRow" compact="0" numFmtId="60" outline="0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 sd="0"/>
      </items>
    </pivotField>
    <pivotField name="Abteilung" compact="0" outline="0" showAll="0">
      <items count="6">
        <item x="0"/>
        <item x="4"/>
        <item x="1"/>
        <item x="3"/>
        <item x="2"/>
        <item t="default" sd="0"/>
      </items>
    </pivotField>
    <pivotField name="Bearbeiter" compact="0" outline="0" showAll="0">
      <items count="12">
        <item x="6"/>
        <item x="10"/>
        <item x="9"/>
        <item x="2"/>
        <item x="0"/>
        <item x="7"/>
        <item x="4"/>
        <item x="3"/>
        <item x="1"/>
        <item x="8"/>
        <item x="5"/>
        <item t="default" sd="0"/>
      </items>
    </pivotField>
    <pivotField name="Vorgangstyp" compact="0" outline="0" showAll="0">
      <items count="13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t="default" sd="0"/>
      </items>
    </pivotField>
    <pivotField name="Bearbeitungsdauer_Min" compact="0" outline="0" showAll="0">
      <items count="69">
        <item x="39"/>
        <item x="33"/>
        <item x="21"/>
        <item x="41"/>
        <item x="28"/>
        <item x="47"/>
        <item x="23"/>
        <item x="16"/>
        <item x="45"/>
        <item x="35"/>
        <item x="53"/>
        <item x="22"/>
        <item x="38"/>
        <item x="44"/>
        <item x="5"/>
        <item x="12"/>
        <item x="18"/>
        <item x="4"/>
        <item x="34"/>
        <item x="10"/>
        <item x="11"/>
        <item x="8"/>
        <item x="6"/>
        <item x="0"/>
        <item x="17"/>
        <item x="15"/>
        <item x="20"/>
        <item x="1"/>
        <item x="19"/>
        <item x="32"/>
        <item x="14"/>
        <item x="49"/>
        <item x="42"/>
        <item x="13"/>
        <item x="25"/>
        <item x="40"/>
        <item x="3"/>
        <item x="2"/>
        <item x="56"/>
        <item x="52"/>
        <item x="36"/>
        <item x="24"/>
        <item x="48"/>
        <item x="51"/>
        <item x="26"/>
        <item x="27"/>
        <item x="58"/>
        <item x="67"/>
        <item x="7"/>
        <item x="29"/>
        <item x="65"/>
        <item x="60"/>
        <item x="30"/>
        <item x="9"/>
        <item x="57"/>
        <item x="59"/>
        <item x="50"/>
        <item x="43"/>
        <item x="37"/>
        <item x="46"/>
        <item x="54"/>
        <item x="62"/>
        <item x="55"/>
        <item x="61"/>
        <item x="66"/>
        <item x="63"/>
        <item x="31"/>
        <item x="64"/>
        <item t="default" sd="0"/>
      </items>
    </pivotField>
    <pivotField name="Kosten_EUR" compact="0" outline="0" showAll="0">
      <items count="394">
        <item x="236"/>
        <item x="87"/>
        <item x="269"/>
        <item x="65"/>
        <item x="255"/>
        <item x="112"/>
        <item x="189"/>
        <item x="375"/>
        <item x="106"/>
        <item x="336"/>
        <item x="98"/>
        <item x="320"/>
        <item x="286"/>
        <item x="365"/>
        <item x="103"/>
        <item x="29"/>
        <item x="37"/>
        <item x="41"/>
        <item x="91"/>
        <item x="228"/>
        <item x="125"/>
        <item x="96"/>
        <item x="22"/>
        <item x="63"/>
        <item x="345"/>
        <item x="316"/>
        <item x="52"/>
        <item x="279"/>
        <item x="253"/>
        <item x="197"/>
        <item x="246"/>
        <item x="218"/>
        <item x="389"/>
        <item x="57"/>
        <item x="234"/>
        <item x="313"/>
        <item x="155"/>
        <item x="309"/>
        <item x="183"/>
        <item x="146"/>
        <item x="100"/>
        <item x="54"/>
        <item x="119"/>
        <item x="349"/>
        <item x="50"/>
        <item x="237"/>
        <item x="156"/>
        <item x="387"/>
        <item x="369"/>
        <item x="190"/>
        <item x="120"/>
        <item x="33"/>
        <item x="292"/>
        <item x="290"/>
        <item x="124"/>
        <item x="32"/>
        <item x="75"/>
        <item x="327"/>
        <item x="274"/>
        <item x="149"/>
        <item x="154"/>
        <item x="117"/>
        <item x="216"/>
        <item x="301"/>
        <item x="355"/>
        <item x="293"/>
        <item x="181"/>
        <item x="53"/>
        <item x="104"/>
        <item x="270"/>
        <item x="366"/>
        <item x="229"/>
        <item x="231"/>
        <item x="74"/>
        <item x="214"/>
        <item x="163"/>
        <item x="247"/>
        <item x="191"/>
        <item x="248"/>
        <item x="138"/>
        <item x="114"/>
        <item x="134"/>
        <item x="315"/>
        <item x="15"/>
        <item x="381"/>
        <item x="179"/>
        <item x="321"/>
        <item x="69"/>
        <item x="379"/>
        <item x="297"/>
        <item x="244"/>
        <item x="298"/>
        <item x="25"/>
        <item x="243"/>
        <item x="186"/>
        <item x="153"/>
        <item x="14"/>
        <item x="169"/>
        <item x="213"/>
        <item x="324"/>
        <item x="95"/>
        <item x="70"/>
        <item x="254"/>
        <item x="5"/>
        <item x="184"/>
        <item x="198"/>
        <item x="380"/>
        <item x="171"/>
        <item x="30"/>
        <item x="84"/>
        <item x="353"/>
        <item x="71"/>
        <item x="333"/>
        <item x="48"/>
        <item x="207"/>
        <item x="329"/>
        <item x="312"/>
        <item x="24"/>
        <item x="11"/>
        <item x="223"/>
        <item x="59"/>
        <item x="13"/>
        <item x="165"/>
        <item x="340"/>
        <item x="101"/>
        <item x="158"/>
        <item x="358"/>
        <item x="121"/>
        <item x="311"/>
        <item x="58"/>
        <item x="105"/>
        <item x="384"/>
        <item x="257"/>
        <item x="7"/>
        <item x="92"/>
        <item x="232"/>
        <item x="34"/>
        <item x="352"/>
        <item x="136"/>
        <item x="132"/>
        <item x="140"/>
        <item x="72"/>
        <item x="145"/>
        <item x="61"/>
        <item x="252"/>
        <item x="289"/>
        <item x="348"/>
        <item x="168"/>
        <item x="245"/>
        <item x="364"/>
        <item x="374"/>
        <item x="170"/>
        <item x="31"/>
        <item x="302"/>
        <item x="205"/>
        <item x="175"/>
        <item x="330"/>
        <item x="294"/>
        <item x="222"/>
        <item x="6"/>
        <item x="208"/>
        <item x="81"/>
        <item x="1"/>
        <item x="94"/>
        <item x="93"/>
        <item x="109"/>
        <item x="193"/>
        <item x="258"/>
        <item x="295"/>
        <item x="102"/>
        <item x="383"/>
        <item x="4"/>
        <item x="230"/>
        <item x="133"/>
        <item x="249"/>
        <item x="66"/>
        <item x="251"/>
        <item x="26"/>
        <item x="284"/>
        <item x="299"/>
        <item x="182"/>
        <item x="176"/>
        <item x="159"/>
        <item x="334"/>
        <item x="280"/>
        <item x="44"/>
        <item x="363"/>
        <item x="62"/>
        <item x="305"/>
        <item x="341"/>
        <item x="282"/>
        <item x="227"/>
        <item x="116"/>
        <item x="166"/>
        <item x="300"/>
        <item x="296"/>
        <item x="308"/>
        <item x="79"/>
        <item x="217"/>
        <item x="386"/>
        <item x="68"/>
        <item x="137"/>
        <item x="267"/>
        <item x="268"/>
        <item x="304"/>
        <item x="276"/>
        <item x="382"/>
        <item x="18"/>
        <item x="19"/>
        <item x="212"/>
        <item x="0"/>
        <item x="239"/>
        <item x="196"/>
        <item x="278"/>
        <item x="126"/>
        <item x="67"/>
        <item x="167"/>
        <item x="113"/>
        <item x="40"/>
        <item x="107"/>
        <item x="210"/>
        <item x="314"/>
        <item x="233"/>
        <item x="192"/>
        <item x="260"/>
        <item x="368"/>
        <item x="303"/>
        <item x="147"/>
        <item x="80"/>
        <item x="178"/>
        <item x="27"/>
        <item x="373"/>
        <item x="8"/>
        <item x="148"/>
        <item x="266"/>
        <item x="307"/>
        <item x="219"/>
        <item x="173"/>
        <item x="162"/>
        <item x="256"/>
        <item x="322"/>
        <item x="344"/>
        <item x="272"/>
        <item x="164"/>
        <item x="64"/>
        <item x="351"/>
        <item x="78"/>
        <item x="38"/>
        <item x="211"/>
        <item x="111"/>
        <item x="88"/>
        <item x="242"/>
        <item x="354"/>
        <item x="241"/>
        <item x="185"/>
        <item x="3"/>
        <item x="332"/>
        <item x="43"/>
        <item x="199"/>
        <item x="264"/>
        <item x="331"/>
        <item x="35"/>
        <item x="77"/>
        <item x="288"/>
        <item x="151"/>
        <item x="317"/>
        <item x="174"/>
        <item x="28"/>
        <item x="157"/>
        <item x="215"/>
        <item x="160"/>
        <item x="123"/>
        <item x="73"/>
        <item x="339"/>
        <item x="83"/>
        <item x="127"/>
        <item x="85"/>
        <item x="143"/>
        <item x="51"/>
        <item x="392"/>
        <item x="310"/>
        <item x="23"/>
        <item x="16"/>
        <item x="187"/>
        <item x="161"/>
        <item x="306"/>
        <item x="335"/>
        <item x="99"/>
        <item x="323"/>
        <item x="128"/>
        <item x="346"/>
        <item x="350"/>
        <item x="36"/>
        <item x="261"/>
        <item x="2"/>
        <item x="265"/>
        <item x="250"/>
        <item x="338"/>
        <item x="152"/>
        <item x="200"/>
        <item x="337"/>
        <item x="130"/>
        <item x="259"/>
        <item x="271"/>
        <item x="221"/>
        <item x="135"/>
        <item x="89"/>
        <item x="21"/>
        <item x="209"/>
        <item x="110"/>
        <item x="238"/>
        <item x="172"/>
        <item x="370"/>
        <item x="263"/>
        <item x="90"/>
        <item x="45"/>
        <item x="235"/>
        <item x="388"/>
        <item x="141"/>
        <item x="275"/>
        <item x="220"/>
        <item x="82"/>
        <item x="76"/>
        <item x="177"/>
        <item x="42"/>
        <item x="131"/>
        <item x="180"/>
        <item x="283"/>
        <item x="20"/>
        <item x="226"/>
        <item x="203"/>
        <item x="97"/>
        <item x="206"/>
        <item x="391"/>
        <item x="17"/>
        <item x="108"/>
        <item x="376"/>
        <item x="367"/>
        <item x="55"/>
        <item x="10"/>
        <item x="142"/>
        <item x="360"/>
        <item x="377"/>
        <item x="357"/>
        <item x="273"/>
        <item x="46"/>
        <item x="39"/>
        <item x="343"/>
        <item x="287"/>
        <item x="225"/>
        <item x="150"/>
        <item x="47"/>
        <item x="144"/>
        <item x="118"/>
        <item x="129"/>
        <item x="372"/>
        <item x="318"/>
        <item x="12"/>
        <item x="49"/>
        <item x="326"/>
        <item x="115"/>
        <item x="371"/>
        <item x="359"/>
        <item x="328"/>
        <item x="240"/>
        <item x="204"/>
        <item x="385"/>
        <item x="390"/>
        <item x="9"/>
        <item x="195"/>
        <item x="281"/>
        <item x="139"/>
        <item x="56"/>
        <item x="378"/>
        <item x="277"/>
        <item x="362"/>
        <item x="361"/>
        <item x="86"/>
        <item x="325"/>
        <item x="262"/>
        <item x="194"/>
        <item x="347"/>
        <item x="224"/>
        <item x="285"/>
        <item x="122"/>
        <item x="188"/>
        <item x="202"/>
        <item x="356"/>
        <item x="201"/>
        <item x="291"/>
        <item x="319"/>
        <item x="60"/>
        <item x="342"/>
        <item t="default" sd="0"/>
      </items>
    </pivotField>
    <pivotField name="SLA_Status" compact="0" outline="0" showAll="0">
      <items count="3">
        <item x="0"/>
        <item x="1"/>
        <item t="default" sd="0"/>
      </items>
    </pivotField>
    <pivotField name=" " compact="0" outline="0" showAll="0">
      <items count="2">
        <item sd="0" x="0"/>
        <item t="default" sd="0"/>
      </items>
    </pivotField>
  </pivotFields>
  <rowFields count="1">
    <field x="1"/>
  </rowFields>
  <rowItems count="13">
    <i/>
    <i/>
    <i/>
    <i/>
    <i/>
    <i/>
    <i/>
    <i/>
    <i/>
    <i/>
    <i/>
    <i/>
    <i t="grand">
      <x/>
    </i>
  </rowItems>
  <colItems count="1">
    <i/>
  </colItems>
  <dataFields count="1">
    <dataField name="Zählen (alle) von VorgangsID" fld="0" subtotal="count"/>
  </dataFields>
  <pivotTableStyleInfo name="PivotStyleCustom02" showRowHeaders="1" showColHeaders="1" showRowStripes="1" showColStripes="0" showLastColumn="1"/>
</pivotTableDefinition>
</file>

<file path=xl/pivotTables/pivotTable3.xml><?xml version="1.0" encoding="utf-8"?>
<pivotTableDefinition xmlns="http://schemas.openxmlformats.org/spreadsheetml/2006/main" name="Tabelle 1 Pivot" cacheId="2" dataPosition="0" autoFormatId="0" applyNumberFormats="0" applyBorderFormats="0" applyFontFormats="0" applyPatternFormats="0" applyAlignmentFormats="0" applyWidthHeightFormats="1" dataCaption="" missingCaption="" pivotTableStyle="PivotStyleCustom03" updatedVersion="7" useAutoFormatting="1" createdVersion="7" indent="0" showEmptyCol="1" showEmptyRow="1" compact="0" compactData="0" multipleFieldFilters="0">
  <location ref="A2:B9" firstHeaderRow="1" firstDataRow="1" firstDataCol="1"/>
  <pivotFields count="11">
    <pivotField name="VorgangsID" axis="axisValues" dataField="1" compact="0" outline="0" showAll="0"/>
    <pivotField name="Datum" compact="0" outline="0" showAll="0">
      <items count="231">
        <item x="2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 sd="0"/>
      </items>
    </pivotField>
    <pivotField name="Abteilung" compact="0" outline="0" showAll="0">
      <items count="7">
        <item x="0"/>
        <item x="4"/>
        <item x="1"/>
        <item x="3"/>
        <item x="2"/>
        <item x="5"/>
        <item t="default" sd="0"/>
      </items>
    </pivotField>
    <pivotField name="Bearbeiter" compact="0" outline="0" showAll="0">
      <items count="13">
        <item x="6"/>
        <item x="10"/>
        <item x="9"/>
        <item x="2"/>
        <item x="0"/>
        <item x="7"/>
        <item x="4"/>
        <item x="3"/>
        <item x="1"/>
        <item x="8"/>
        <item x="5"/>
        <item x="11"/>
        <item t="default" sd="0"/>
      </items>
    </pivotField>
    <pivotField name="Vorgangstyp" compact="0" outline="0" showAll="0">
      <items count="14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x="12"/>
        <item t="default" sd="0"/>
      </items>
    </pivotField>
    <pivotField name="Bearbeitungsdauer_Min" compact="0" outline="0" showAll="0">
      <items count="70">
        <item x="39"/>
        <item x="33"/>
        <item x="21"/>
        <item x="41"/>
        <item x="28"/>
        <item x="47"/>
        <item x="23"/>
        <item x="16"/>
        <item x="45"/>
        <item x="35"/>
        <item x="53"/>
        <item x="22"/>
        <item x="38"/>
        <item x="44"/>
        <item x="5"/>
        <item x="12"/>
        <item x="18"/>
        <item x="4"/>
        <item x="34"/>
        <item x="10"/>
        <item x="11"/>
        <item x="8"/>
        <item x="6"/>
        <item x="0"/>
        <item x="17"/>
        <item x="15"/>
        <item x="20"/>
        <item x="1"/>
        <item x="19"/>
        <item x="32"/>
        <item x="14"/>
        <item x="49"/>
        <item x="42"/>
        <item x="13"/>
        <item x="25"/>
        <item x="40"/>
        <item x="3"/>
        <item x="2"/>
        <item x="56"/>
        <item x="52"/>
        <item x="36"/>
        <item x="24"/>
        <item x="48"/>
        <item x="51"/>
        <item x="26"/>
        <item x="27"/>
        <item x="58"/>
        <item x="67"/>
        <item x="7"/>
        <item x="29"/>
        <item x="65"/>
        <item x="60"/>
        <item x="30"/>
        <item x="9"/>
        <item x="57"/>
        <item x="59"/>
        <item x="50"/>
        <item x="43"/>
        <item x="37"/>
        <item x="46"/>
        <item x="54"/>
        <item x="62"/>
        <item x="55"/>
        <item x="61"/>
        <item x="66"/>
        <item x="63"/>
        <item x="31"/>
        <item x="64"/>
        <item x="68"/>
        <item t="default" sd="0"/>
      </items>
    </pivotField>
    <pivotField name="Kosten_EUR" compact="0" outline="0" showAll="0">
      <items count="395">
        <item x="236"/>
        <item x="87"/>
        <item x="269"/>
        <item x="65"/>
        <item x="255"/>
        <item x="112"/>
        <item x="189"/>
        <item x="375"/>
        <item x="106"/>
        <item x="336"/>
        <item x="98"/>
        <item x="320"/>
        <item x="286"/>
        <item x="365"/>
        <item x="103"/>
        <item x="29"/>
        <item x="37"/>
        <item x="41"/>
        <item x="91"/>
        <item x="228"/>
        <item x="125"/>
        <item x="96"/>
        <item x="22"/>
        <item x="63"/>
        <item x="345"/>
        <item x="316"/>
        <item x="52"/>
        <item x="279"/>
        <item x="253"/>
        <item x="197"/>
        <item x="246"/>
        <item x="218"/>
        <item x="389"/>
        <item x="57"/>
        <item x="234"/>
        <item x="313"/>
        <item x="155"/>
        <item x="309"/>
        <item x="183"/>
        <item x="146"/>
        <item x="100"/>
        <item x="54"/>
        <item x="119"/>
        <item x="349"/>
        <item x="50"/>
        <item x="237"/>
        <item x="156"/>
        <item x="387"/>
        <item x="369"/>
        <item x="190"/>
        <item x="120"/>
        <item x="33"/>
        <item x="292"/>
        <item x="290"/>
        <item x="124"/>
        <item x="32"/>
        <item x="75"/>
        <item x="327"/>
        <item x="274"/>
        <item x="149"/>
        <item x="154"/>
        <item x="117"/>
        <item x="216"/>
        <item x="301"/>
        <item x="355"/>
        <item x="293"/>
        <item x="181"/>
        <item x="53"/>
        <item x="104"/>
        <item x="270"/>
        <item x="366"/>
        <item x="229"/>
        <item x="231"/>
        <item x="74"/>
        <item x="214"/>
        <item x="163"/>
        <item x="247"/>
        <item x="191"/>
        <item x="248"/>
        <item x="138"/>
        <item x="114"/>
        <item x="134"/>
        <item x="315"/>
        <item x="15"/>
        <item x="381"/>
        <item x="179"/>
        <item x="321"/>
        <item x="69"/>
        <item x="379"/>
        <item x="297"/>
        <item x="244"/>
        <item x="298"/>
        <item x="25"/>
        <item x="243"/>
        <item x="186"/>
        <item x="153"/>
        <item x="14"/>
        <item x="169"/>
        <item x="213"/>
        <item x="324"/>
        <item x="95"/>
        <item x="70"/>
        <item x="254"/>
        <item x="5"/>
        <item x="184"/>
        <item x="198"/>
        <item x="380"/>
        <item x="171"/>
        <item x="30"/>
        <item x="84"/>
        <item x="353"/>
        <item x="71"/>
        <item x="333"/>
        <item x="48"/>
        <item x="207"/>
        <item x="329"/>
        <item x="312"/>
        <item x="24"/>
        <item x="11"/>
        <item x="223"/>
        <item x="59"/>
        <item x="13"/>
        <item x="165"/>
        <item x="340"/>
        <item x="101"/>
        <item x="158"/>
        <item x="358"/>
        <item x="121"/>
        <item x="311"/>
        <item x="58"/>
        <item x="105"/>
        <item x="384"/>
        <item x="257"/>
        <item x="7"/>
        <item x="92"/>
        <item x="232"/>
        <item x="34"/>
        <item x="352"/>
        <item x="136"/>
        <item x="132"/>
        <item x="140"/>
        <item x="72"/>
        <item x="145"/>
        <item x="61"/>
        <item x="252"/>
        <item x="289"/>
        <item x="348"/>
        <item x="168"/>
        <item x="245"/>
        <item x="364"/>
        <item x="374"/>
        <item x="170"/>
        <item x="31"/>
        <item x="302"/>
        <item x="205"/>
        <item x="175"/>
        <item x="330"/>
        <item x="294"/>
        <item x="222"/>
        <item x="6"/>
        <item x="208"/>
        <item x="81"/>
        <item x="1"/>
        <item x="94"/>
        <item x="93"/>
        <item x="109"/>
        <item x="193"/>
        <item x="258"/>
        <item x="295"/>
        <item x="102"/>
        <item x="383"/>
        <item x="4"/>
        <item x="230"/>
        <item x="133"/>
        <item x="249"/>
        <item x="66"/>
        <item x="251"/>
        <item x="26"/>
        <item x="284"/>
        <item x="299"/>
        <item x="182"/>
        <item x="176"/>
        <item x="159"/>
        <item x="334"/>
        <item x="280"/>
        <item x="44"/>
        <item x="363"/>
        <item x="62"/>
        <item x="305"/>
        <item x="341"/>
        <item x="282"/>
        <item x="227"/>
        <item x="116"/>
        <item x="166"/>
        <item x="300"/>
        <item x="296"/>
        <item x="308"/>
        <item x="79"/>
        <item x="217"/>
        <item x="386"/>
        <item x="68"/>
        <item x="137"/>
        <item x="267"/>
        <item x="268"/>
        <item x="304"/>
        <item x="276"/>
        <item x="382"/>
        <item x="18"/>
        <item x="19"/>
        <item x="212"/>
        <item x="0"/>
        <item x="239"/>
        <item x="196"/>
        <item x="278"/>
        <item x="126"/>
        <item x="67"/>
        <item x="167"/>
        <item x="113"/>
        <item x="40"/>
        <item x="107"/>
        <item x="210"/>
        <item x="314"/>
        <item x="233"/>
        <item x="192"/>
        <item x="260"/>
        <item x="368"/>
        <item x="303"/>
        <item x="147"/>
        <item x="80"/>
        <item x="178"/>
        <item x="27"/>
        <item x="373"/>
        <item x="8"/>
        <item x="148"/>
        <item x="266"/>
        <item x="307"/>
        <item x="219"/>
        <item x="173"/>
        <item x="162"/>
        <item x="256"/>
        <item x="322"/>
        <item x="344"/>
        <item x="272"/>
        <item x="164"/>
        <item x="64"/>
        <item x="351"/>
        <item x="78"/>
        <item x="38"/>
        <item x="211"/>
        <item x="111"/>
        <item x="88"/>
        <item x="242"/>
        <item x="354"/>
        <item x="241"/>
        <item x="185"/>
        <item x="3"/>
        <item x="332"/>
        <item x="43"/>
        <item x="199"/>
        <item x="264"/>
        <item x="331"/>
        <item x="35"/>
        <item x="77"/>
        <item x="288"/>
        <item x="151"/>
        <item x="317"/>
        <item x="174"/>
        <item x="28"/>
        <item x="157"/>
        <item x="215"/>
        <item x="160"/>
        <item x="123"/>
        <item x="73"/>
        <item x="339"/>
        <item x="83"/>
        <item x="127"/>
        <item x="85"/>
        <item x="143"/>
        <item x="51"/>
        <item x="392"/>
        <item x="310"/>
        <item x="23"/>
        <item x="16"/>
        <item x="187"/>
        <item x="161"/>
        <item x="306"/>
        <item x="335"/>
        <item x="99"/>
        <item x="323"/>
        <item x="128"/>
        <item x="346"/>
        <item x="350"/>
        <item x="36"/>
        <item x="261"/>
        <item x="2"/>
        <item x="265"/>
        <item x="250"/>
        <item x="338"/>
        <item x="152"/>
        <item x="200"/>
        <item x="337"/>
        <item x="130"/>
        <item x="259"/>
        <item x="271"/>
        <item x="221"/>
        <item x="135"/>
        <item x="89"/>
        <item x="21"/>
        <item x="209"/>
        <item x="110"/>
        <item x="238"/>
        <item x="172"/>
        <item x="370"/>
        <item x="263"/>
        <item x="90"/>
        <item x="45"/>
        <item x="235"/>
        <item x="388"/>
        <item x="141"/>
        <item x="275"/>
        <item x="220"/>
        <item x="82"/>
        <item x="76"/>
        <item x="177"/>
        <item x="42"/>
        <item x="131"/>
        <item x="180"/>
        <item x="283"/>
        <item x="20"/>
        <item x="226"/>
        <item x="203"/>
        <item x="97"/>
        <item x="206"/>
        <item x="391"/>
        <item x="17"/>
        <item x="108"/>
        <item x="376"/>
        <item x="367"/>
        <item x="55"/>
        <item x="10"/>
        <item x="142"/>
        <item x="360"/>
        <item x="377"/>
        <item x="357"/>
        <item x="273"/>
        <item x="46"/>
        <item x="39"/>
        <item x="343"/>
        <item x="287"/>
        <item x="225"/>
        <item x="150"/>
        <item x="47"/>
        <item x="144"/>
        <item x="118"/>
        <item x="129"/>
        <item x="372"/>
        <item x="318"/>
        <item x="12"/>
        <item x="49"/>
        <item x="326"/>
        <item x="115"/>
        <item x="371"/>
        <item x="359"/>
        <item x="328"/>
        <item x="240"/>
        <item x="204"/>
        <item x="385"/>
        <item x="390"/>
        <item x="9"/>
        <item x="195"/>
        <item x="281"/>
        <item x="139"/>
        <item x="56"/>
        <item x="378"/>
        <item x="277"/>
        <item x="362"/>
        <item x="361"/>
        <item x="86"/>
        <item x="325"/>
        <item x="262"/>
        <item x="194"/>
        <item x="347"/>
        <item x="224"/>
        <item x="285"/>
        <item x="122"/>
        <item x="188"/>
        <item x="202"/>
        <item x="356"/>
        <item x="201"/>
        <item x="291"/>
        <item x="319"/>
        <item x="60"/>
        <item x="342"/>
        <item x="393"/>
        <item t="default" sd="0"/>
      </items>
    </pivotField>
    <pivotField name="SLA_Status" compact="0" outline="0" showAll="0">
      <items count="4">
        <item x="0"/>
        <item x="1"/>
        <item x="2"/>
        <item t="default" sd="0"/>
      </items>
    </pivotField>
    <pivotField name="Bearbeitungsdauer pro Interval1" axis="axisRow" compact="0" numFmtId="49" outline="0" showAll="0" sortType="ascending">
      <items count="7">
        <item x="2"/>
        <item x="0"/>
        <item x="1"/>
        <item x="4"/>
        <item x="3"/>
        <item x="5"/>
        <item t="default" sd="0"/>
      </items>
    </pivotField>
    <pivotField name="Interval2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st Spalte F leer?" compact="0" outline="0" showAll="0">
      <items count="3">
        <item x="0"/>
        <item x="1"/>
        <item t="default" sd="0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Zählen (alle) von VorgangsID" fld="0" subtotal="count"/>
  </dataFields>
  <pivotTableStyleInfo name="PivotStyleCustom03" showRowHeaders="1" showColHeaders="1" showRowStripes="1" showColStripes="0" showLastColumn="1"/>
</pivotTableDefinition>
</file>

<file path=xl/pivotTables/pivotTable4.xml><?xml version="1.0" encoding="utf-8"?>
<pivotTableDefinition xmlns="http://schemas.openxmlformats.org/spreadsheetml/2006/main" name="Tabelle 1 Pivot" cacheId="3" dataPosition="0" autoFormatId="0" applyNumberFormats="0" applyBorderFormats="0" applyFontFormats="0" applyPatternFormats="0" applyAlignmentFormats="0" applyWidthHeightFormats="1" dataCaption="" missingCaption="" pivotTableStyle="PivotStyleCustom04" updatedVersion="7" useAutoFormatting="1" createdVersion="7" indent="0" showEmptyCol="1" showEmptyRow="1" compact="0" compactData="0" multipleFieldFilters="0">
  <location ref="A2:C10" firstHeaderRow="1" firstDataRow="2" firstDataCol="1"/>
  <pivotFields count="12">
    <pivotField name="VorgangsID" compact="0" outline="0" showAll="0">
      <items count="405">
        <item x="403"/>
        <item x="400"/>
        <item x="401"/>
        <item x="399"/>
        <item x="350"/>
        <item x="287"/>
        <item x="104"/>
        <item x="317"/>
        <item x="181"/>
        <item x="183"/>
        <item x="65"/>
        <item x="192"/>
        <item x="147"/>
        <item x="90"/>
        <item x="378"/>
        <item x="351"/>
        <item x="28"/>
        <item x="301"/>
        <item x="217"/>
        <item x="130"/>
        <item x="106"/>
        <item x="84"/>
        <item x="206"/>
        <item x="376"/>
        <item x="152"/>
        <item x="260"/>
        <item x="352"/>
        <item x="272"/>
        <item x="193"/>
        <item x="42"/>
        <item x="69"/>
        <item x="280"/>
        <item x="370"/>
        <item x="7"/>
        <item x="35"/>
        <item x="266"/>
        <item x="73"/>
        <item x="52"/>
        <item x="26"/>
        <item x="128"/>
        <item x="96"/>
        <item x="20"/>
        <item x="118"/>
        <item x="203"/>
        <item x="385"/>
        <item x="283"/>
        <item x="247"/>
        <item x="321"/>
        <item x="302"/>
        <item x="270"/>
        <item x="168"/>
        <item x="36"/>
        <item x="261"/>
        <item x="284"/>
        <item x="155"/>
        <item x="86"/>
        <item x="98"/>
        <item x="48"/>
        <item x="71"/>
        <item x="4"/>
        <item x="197"/>
        <item x="14"/>
        <item x="56"/>
        <item x="119"/>
        <item x="178"/>
        <item x="391"/>
        <item x="109"/>
        <item x="141"/>
        <item x="277"/>
        <item x="131"/>
        <item x="169"/>
        <item x="278"/>
        <item x="368"/>
        <item x="164"/>
        <item x="293"/>
        <item x="332"/>
        <item x="160"/>
        <item x="372"/>
        <item x="43"/>
        <item x="116"/>
        <item x="16"/>
        <item x="343"/>
        <item x="83"/>
        <item x="386"/>
        <item x="63"/>
        <item x="234"/>
        <item x="88"/>
        <item x="269"/>
        <item x="144"/>
        <item x="211"/>
        <item x="177"/>
        <item x="314"/>
        <item x="1"/>
        <item x="288"/>
        <item x="216"/>
        <item x="339"/>
        <item x="9"/>
        <item x="174"/>
        <item x="204"/>
        <item x="22"/>
        <item x="363"/>
        <item x="66"/>
        <item x="243"/>
        <item x="91"/>
        <item x="167"/>
        <item x="340"/>
        <item x="323"/>
        <item x="358"/>
        <item x="194"/>
        <item x="364"/>
        <item x="320"/>
        <item x="303"/>
        <item x="173"/>
        <item x="392"/>
        <item x="44"/>
        <item x="398"/>
        <item x="224"/>
        <item x="230"/>
        <item x="162"/>
        <item x="381"/>
        <item x="318"/>
        <item x="158"/>
        <item x="27"/>
        <item x="305"/>
        <item x="23"/>
        <item x="344"/>
        <item x="161"/>
        <item x="334"/>
        <item x="319"/>
        <item x="100"/>
        <item x="122"/>
        <item x="151"/>
        <item x="114"/>
        <item x="134"/>
        <item x="163"/>
        <item x="137"/>
        <item x="15"/>
        <item x="308"/>
        <item x="310"/>
        <item x="315"/>
        <item x="227"/>
        <item x="146"/>
        <item x="46"/>
        <item x="0"/>
        <item x="268"/>
        <item x="74"/>
        <item x="11"/>
        <item x="49"/>
        <item x="359"/>
        <item x="251"/>
        <item x="212"/>
        <item x="262"/>
        <item x="316"/>
        <item x="285"/>
        <item x="123"/>
        <item x="207"/>
        <item x="256"/>
        <item x="80"/>
        <item x="132"/>
        <item x="276"/>
        <item x="253"/>
        <item x="110"/>
        <item x="394"/>
        <item x="29"/>
        <item x="273"/>
        <item x="338"/>
        <item x="240"/>
        <item x="235"/>
        <item x="382"/>
        <item x="208"/>
        <item x="366"/>
        <item x="327"/>
        <item x="188"/>
        <item x="377"/>
        <item x="165"/>
        <item x="175"/>
        <item x="281"/>
        <item x="250"/>
        <item x="61"/>
        <item x="373"/>
        <item x="5"/>
        <item x="209"/>
        <item x="296"/>
        <item x="389"/>
        <item x="12"/>
        <item x="387"/>
        <item x="87"/>
        <item x="383"/>
        <item x="195"/>
        <item x="140"/>
        <item x="101"/>
        <item x="298"/>
        <item x="115"/>
        <item x="72"/>
        <item x="10"/>
        <item x="67"/>
        <item x="237"/>
        <item x="367"/>
        <item x="33"/>
        <item x="37"/>
        <item x="68"/>
        <item x="274"/>
        <item x="393"/>
        <item x="51"/>
        <item x="85"/>
        <item x="199"/>
        <item x="297"/>
        <item x="24"/>
        <item x="263"/>
        <item x="196"/>
        <item x="231"/>
        <item x="94"/>
        <item x="95"/>
        <item x="275"/>
        <item x="198"/>
        <item x="335"/>
        <item x="102"/>
        <item x="254"/>
        <item x="322"/>
        <item x="148"/>
        <item x="93"/>
        <item x="219"/>
        <item x="41"/>
        <item x="225"/>
        <item x="336"/>
        <item x="223"/>
        <item x="107"/>
        <item x="186"/>
        <item x="82"/>
        <item x="341"/>
        <item x="299"/>
        <item x="346"/>
        <item x="264"/>
        <item x="357"/>
        <item x="213"/>
        <item x="324"/>
        <item x="182"/>
        <item x="233"/>
        <item x="215"/>
        <item x="34"/>
        <item x="129"/>
        <item x="166"/>
        <item x="45"/>
        <item x="379"/>
        <item x="265"/>
        <item x="252"/>
        <item x="54"/>
        <item x="202"/>
        <item x="92"/>
        <item x="329"/>
        <item x="124"/>
        <item x="241"/>
        <item x="325"/>
        <item x="57"/>
        <item x="89"/>
        <item x="238"/>
        <item x="200"/>
        <item x="361"/>
        <item x="245"/>
        <item x="103"/>
        <item x="120"/>
        <item x="58"/>
        <item x="347"/>
        <item x="126"/>
        <item x="271"/>
        <item x="8"/>
        <item x="201"/>
        <item x="342"/>
        <item x="289"/>
        <item x="248"/>
        <item x="97"/>
        <item x="286"/>
        <item x="191"/>
        <item x="222"/>
        <item x="258"/>
        <item x="232"/>
        <item x="176"/>
        <item x="187"/>
        <item x="138"/>
        <item x="374"/>
        <item x="375"/>
        <item x="214"/>
        <item x="239"/>
        <item x="142"/>
        <item x="259"/>
        <item x="330"/>
        <item x="38"/>
        <item x="369"/>
        <item x="156"/>
        <item x="77"/>
        <item x="306"/>
        <item x="249"/>
        <item x="172"/>
        <item x="292"/>
        <item x="30"/>
        <item x="185"/>
        <item x="348"/>
        <item x="354"/>
        <item x="326"/>
        <item x="355"/>
        <item x="304"/>
        <item x="159"/>
        <item x="380"/>
        <item x="170"/>
        <item x="184"/>
        <item x="64"/>
        <item x="149"/>
        <item x="311"/>
        <item x="267"/>
        <item x="127"/>
        <item x="257"/>
        <item x="133"/>
        <item x="25"/>
        <item x="290"/>
        <item x="70"/>
        <item x="81"/>
        <item x="17"/>
        <item x="78"/>
        <item x="333"/>
        <item x="397"/>
        <item x="371"/>
        <item x="345"/>
        <item x="312"/>
        <item x="205"/>
        <item x="390"/>
        <item x="228"/>
        <item x="396"/>
        <item x="171"/>
        <item x="190"/>
        <item x="153"/>
        <item x="384"/>
        <item x="139"/>
        <item x="218"/>
        <item x="236"/>
        <item x="136"/>
        <item x="21"/>
        <item x="55"/>
        <item x="291"/>
        <item x="246"/>
        <item x="47"/>
        <item x="13"/>
        <item x="220"/>
        <item x="150"/>
        <item x="143"/>
        <item x="59"/>
        <item x="180"/>
        <item x="353"/>
        <item x="79"/>
        <item x="117"/>
        <item x="365"/>
        <item x="226"/>
        <item x="331"/>
        <item x="328"/>
        <item x="105"/>
        <item x="395"/>
        <item x="307"/>
        <item x="99"/>
        <item x="75"/>
        <item x="242"/>
        <item x="39"/>
        <item x="31"/>
        <item x="356"/>
        <item x="210"/>
        <item x="76"/>
        <item x="279"/>
        <item x="154"/>
        <item x="111"/>
        <item x="60"/>
        <item x="6"/>
        <item x="19"/>
        <item x="282"/>
        <item x="309"/>
        <item x="121"/>
        <item x="295"/>
        <item x="294"/>
        <item x="157"/>
        <item x="108"/>
        <item x="229"/>
        <item x="360"/>
        <item x="135"/>
        <item x="40"/>
        <item x="179"/>
        <item x="62"/>
        <item x="125"/>
        <item x="362"/>
        <item x="244"/>
        <item x="18"/>
        <item x="313"/>
        <item x="112"/>
        <item x="255"/>
        <item x="189"/>
        <item x="32"/>
        <item x="2"/>
        <item x="337"/>
        <item x="3"/>
        <item x="145"/>
        <item x="53"/>
        <item x="221"/>
        <item x="388"/>
        <item x="50"/>
        <item x="349"/>
        <item x="300"/>
        <item x="113"/>
        <item x="402"/>
        <item t="default" sd="0"/>
      </items>
    </pivotField>
    <pivotField name="Datum" compact="0" outline="0" showAll="0">
      <items count="231">
        <item x="2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 sd="0"/>
      </items>
    </pivotField>
    <pivotField name="Abteilung" axis="axisRow" compact="0" numFmtId="49" outline="0" showAll="0" sortType="ascending">
      <items count="7">
        <item x="0"/>
        <item x="4"/>
        <item x="1"/>
        <item x="3"/>
        <item x="2"/>
        <item x="5"/>
        <item t="default" sd="0"/>
      </items>
    </pivotField>
    <pivotField name="Bearbeiter" compact="0" outline="0" showAll="0">
      <items count="13">
        <item x="6"/>
        <item x="10"/>
        <item x="9"/>
        <item x="2"/>
        <item x="0"/>
        <item x="7"/>
        <item x="4"/>
        <item x="3"/>
        <item x="1"/>
        <item x="8"/>
        <item x="5"/>
        <item x="11"/>
        <item t="default" sd="0"/>
      </items>
    </pivotField>
    <pivotField name="Vorgangstyp" compact="0" outline="0" showAll="0">
      <items count="14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x="12"/>
        <item t="default" sd="0"/>
      </items>
    </pivotField>
    <pivotField name="Bearbeitungsdauer_Min" axis="axisValues" dataField="1" compact="0" outline="0" showAll="0"/>
    <pivotField name="Kosten_EUR" axis="axisValues" dataField="1" compact="0" outline="0" showAll="0"/>
    <pivotField name="SLA_Status" compact="0" outline="0" showAll="0">
      <items count="4">
        <item x="0"/>
        <item x="1"/>
        <item x="2"/>
        <item t="default" sd="0"/>
      </items>
    </pivotField>
    <pivotField name="KOSTEN PRO MINUTE" compact="0" outline="0" showAll="0">
      <items count="394">
        <item x="217"/>
        <item x="269"/>
        <item x="91"/>
        <item x="95"/>
        <item x="388"/>
        <item x="379"/>
        <item x="318"/>
        <item x="216"/>
        <item x="343"/>
        <item x="348"/>
        <item x="253"/>
        <item x="229"/>
        <item x="24"/>
        <item x="114"/>
        <item x="37"/>
        <item x="212"/>
        <item x="278"/>
        <item x="132"/>
        <item x="252"/>
        <item x="154"/>
        <item x="134"/>
        <item x="182"/>
        <item x="14"/>
        <item x="183"/>
        <item x="228"/>
        <item x="87"/>
        <item x="41"/>
        <item x="362"/>
        <item x="48"/>
        <item x="116"/>
        <item x="169"/>
        <item x="298"/>
        <item x="313"/>
        <item x="189"/>
        <item x="167"/>
        <item x="234"/>
        <item x="309"/>
        <item x="32"/>
        <item x="75"/>
        <item x="235"/>
        <item x="364"/>
        <item x="84"/>
        <item x="246"/>
        <item x="135"/>
        <item x="100"/>
        <item x="354"/>
        <item x="1"/>
        <item x="101"/>
        <item x="54"/>
        <item x="74"/>
        <item x="237"/>
        <item x="268"/>
        <item x="244"/>
        <item x="211"/>
        <item x="283"/>
        <item x="58"/>
        <item x="248"/>
        <item x="11"/>
        <item x="215"/>
        <item x="256"/>
        <item x="7"/>
        <item x="251"/>
        <item x="352"/>
        <item x="164"/>
        <item x="380"/>
        <item x="79"/>
        <item x="150"/>
        <item x="65"/>
        <item x="371"/>
        <item x="206"/>
        <item x="22"/>
        <item x="287"/>
        <item x="296"/>
        <item x="373"/>
        <item x="63"/>
        <item x="207"/>
        <item x="289"/>
        <item x="290"/>
        <item x="311"/>
        <item x="180"/>
        <item x="30"/>
        <item x="53"/>
        <item x="391"/>
        <item x="314"/>
        <item x="152"/>
        <item x="153"/>
        <item x="372"/>
        <item x="381"/>
        <item x="338"/>
        <item x="31"/>
        <item x="103"/>
        <item x="367"/>
        <item x="71"/>
        <item x="254"/>
        <item x="331"/>
        <item x="266"/>
        <item x="147"/>
        <item x="319"/>
        <item x="157"/>
        <item x="227"/>
        <item x="181"/>
        <item x="145"/>
        <item x="123"/>
        <item x="294"/>
        <item x="310"/>
        <item x="332"/>
        <item x="106"/>
        <item x="247"/>
        <item x="25"/>
        <item x="264"/>
        <item x="136"/>
        <item x="192"/>
        <item x="33"/>
        <item x="3"/>
        <item x="13"/>
        <item x="295"/>
        <item x="250"/>
        <item x="70"/>
        <item x="334"/>
        <item x="191"/>
        <item x="386"/>
        <item x="197"/>
        <item x="15"/>
        <item x="232"/>
        <item x="165"/>
        <item x="148"/>
        <item x="168"/>
        <item x="351"/>
        <item x="342"/>
        <item x="72"/>
        <item x="190"/>
        <item x="124"/>
        <item x="61"/>
        <item x="161"/>
        <item x="121"/>
        <item x="245"/>
        <item x="307"/>
        <item x="226"/>
        <item x="221"/>
        <item x="303"/>
        <item x="327"/>
        <item x="141"/>
        <item x="302"/>
        <item x="27"/>
        <item x="208"/>
        <item x="170"/>
        <item x="195"/>
        <item x="175"/>
        <item x="55"/>
        <item x="243"/>
        <item x="230"/>
        <item x="59"/>
        <item x="336"/>
        <item x="18"/>
        <item x="204"/>
        <item x="66"/>
        <item x="133"/>
        <item x="347"/>
        <item x="321"/>
        <item x="125"/>
        <item x="361"/>
        <item x="341"/>
        <item x="38"/>
        <item x="109"/>
        <item x="210"/>
        <item x="113"/>
        <item x="23"/>
        <item x="80"/>
        <item x="82"/>
        <item x="249"/>
        <item x="185"/>
        <item x="138"/>
        <item x="64"/>
        <item x="356"/>
        <item x="198"/>
        <item x="353"/>
        <item x="376"/>
        <item x="325"/>
        <item x="12"/>
        <item x="383"/>
        <item x="126"/>
        <item x="29"/>
        <item x="142"/>
        <item x="326"/>
        <item x="196"/>
        <item x="258"/>
        <item x="78"/>
        <item x="366"/>
        <item x="40"/>
        <item x="263"/>
        <item x="239"/>
        <item x="2"/>
        <item x="324"/>
        <item x="184"/>
        <item x="155"/>
        <item x="51"/>
        <item x="5"/>
        <item x="265"/>
        <item x="90"/>
        <item x="119"/>
        <item x="144"/>
        <item x="131"/>
        <item x="299"/>
        <item x="0"/>
        <item x="99"/>
        <item x="67"/>
        <item x="301"/>
        <item x="241"/>
        <item x="236"/>
        <item x="166"/>
        <item x="57"/>
        <item x="112"/>
        <item x="272"/>
        <item x="300"/>
        <item x="94"/>
        <item x="179"/>
        <item x="77"/>
        <item x="240"/>
        <item x="173"/>
        <item x="34"/>
        <item x="333"/>
        <item x="115"/>
        <item x="16"/>
        <item x="271"/>
        <item x="76"/>
        <item x="19"/>
        <item x="158"/>
        <item x="73"/>
        <item x="308"/>
        <item x="329"/>
        <item x="118"/>
        <item x="291"/>
        <item x="350"/>
        <item x="358"/>
        <item x="50"/>
        <item x="44"/>
        <item x="375"/>
        <item x="21"/>
        <item x="81"/>
        <item x="389"/>
        <item x="107"/>
        <item x="46"/>
        <item x="176"/>
        <item x="160"/>
        <item x="188"/>
        <item x="363"/>
        <item x="137"/>
        <item x="96"/>
        <item x="224"/>
        <item x="257"/>
        <item x="108"/>
        <item x="277"/>
        <item x="274"/>
        <item x="297"/>
        <item x="346"/>
        <item x="293"/>
        <item x="35"/>
        <item x="370"/>
        <item x="286"/>
        <item x="369"/>
        <item x="8"/>
        <item x="213"/>
        <item x="62"/>
        <item x="128"/>
        <item x="359"/>
        <item x="45"/>
        <item x="267"/>
        <item x="6"/>
        <item x="52"/>
        <item x="139"/>
        <item x="209"/>
        <item x="255"/>
        <item x="225"/>
        <item x="312"/>
        <item x="275"/>
        <item x="85"/>
        <item x="104"/>
        <item x="151"/>
        <item x="231"/>
        <item x="105"/>
        <item x="86"/>
        <item x="273"/>
        <item x="111"/>
        <item x="259"/>
        <item x="199"/>
        <item x="140"/>
        <item x="242"/>
        <item x="146"/>
        <item x="202"/>
        <item x="292"/>
        <item x="315"/>
        <item x="284"/>
        <item x="276"/>
        <item x="382"/>
        <item x="172"/>
        <item x="4"/>
        <item x="186"/>
        <item x="306"/>
        <item x="337"/>
        <item x="156"/>
        <item x="280"/>
        <item x="117"/>
        <item x="193"/>
        <item x="39"/>
        <item x="323"/>
        <item x="222"/>
        <item x="328"/>
        <item x="279"/>
        <item x="304"/>
        <item x="260"/>
        <item x="143"/>
        <item x="335"/>
        <item x="130"/>
        <item x="316"/>
        <item x="270"/>
        <item x="171"/>
        <item x="322"/>
        <item x="178"/>
        <item x="357"/>
        <item x="89"/>
        <item x="28"/>
        <item x="214"/>
        <item x="88"/>
        <item x="56"/>
        <item x="177"/>
        <item x="49"/>
        <item x="262"/>
        <item x="355"/>
        <item x="377"/>
        <item x="43"/>
        <item x="102"/>
        <item x="360"/>
        <item x="174"/>
        <item x="282"/>
        <item x="285"/>
        <item x="205"/>
        <item x="162"/>
        <item x="122"/>
        <item x="385"/>
        <item x="194"/>
        <item x="68"/>
        <item x="47"/>
        <item x="9"/>
        <item x="10"/>
        <item x="110"/>
        <item x="305"/>
        <item x="42"/>
        <item x="149"/>
        <item x="261"/>
        <item x="378"/>
        <item x="83"/>
        <item x="339"/>
        <item x="238"/>
        <item x="281"/>
        <item x="233"/>
        <item x="387"/>
        <item x="98"/>
        <item x="93"/>
        <item x="26"/>
        <item x="97"/>
        <item x="163"/>
        <item x="127"/>
        <item x="20"/>
        <item x="330"/>
        <item x="218"/>
        <item x="69"/>
        <item x="92"/>
        <item x="220"/>
        <item x="390"/>
        <item x="36"/>
        <item x="320"/>
        <item x="219"/>
        <item x="203"/>
        <item x="120"/>
        <item x="159"/>
        <item x="374"/>
        <item x="187"/>
        <item x="349"/>
        <item x="345"/>
        <item x="384"/>
        <item x="129"/>
        <item x="317"/>
        <item x="60"/>
        <item x="200"/>
        <item x="344"/>
        <item x="223"/>
        <item x="368"/>
        <item x="365"/>
        <item x="17"/>
        <item x="288"/>
        <item x="201"/>
        <item x="340"/>
        <item x="392"/>
        <item t="default" sd="0"/>
      </items>
    </pivotField>
    <pivotField name="Bearbeitungsdauer pro Interval1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nterval2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st Spalte F leer?" compact="0" outline="0" showAll="0">
      <items count="3">
        <item x="0"/>
        <item x="1"/>
        <item t="default" sd="0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me von Kosten_EUR" fld="6" numFmtId="1"/>
    <dataField name="Summe von Bearbeitungsdauer_Min" fld="5"/>
  </dataFields>
  <pivotTableStyleInfo name="PivotStyleCustom04" showRowHeaders="1" showColHeaders="1" showRowStripes="1" showColStripes="0" showLastColumn="1"/>
</pivotTableDefinition>
</file>

<file path=xl/pivotTables/pivotTable5.xml><?xml version="1.0" encoding="utf-8"?>
<pivotTableDefinition xmlns="http://schemas.openxmlformats.org/spreadsheetml/2006/main" name="Tabelle 1 Pivot" cacheId="4" dataPosition="0" autoFormatId="0" applyNumberFormats="0" applyBorderFormats="0" applyFontFormats="0" applyPatternFormats="0" applyAlignmentFormats="0" applyWidthHeightFormats="1" dataCaption="" missingCaption="" pivotTableStyle="PivotStyleCustom05" updatedVersion="7" useAutoFormatting="1" createdVersion="7" indent="0" showEmptyCol="1" showEmptyRow="1" compact="0" compactData="0" multipleFieldFilters="0">
  <location ref="A4:C11" firstHeaderRow="1" firstDataRow="2" firstDataCol="1" rowPageCount="1" colPageCount="1"/>
  <pivotFields count="12">
    <pivotField name="VorgangsID" compact="0" outline="0" showAll="0">
      <items count="405">
        <item x="403"/>
        <item x="400"/>
        <item x="401"/>
        <item x="399"/>
        <item x="350"/>
        <item x="287"/>
        <item x="104"/>
        <item x="317"/>
        <item x="181"/>
        <item x="183"/>
        <item x="65"/>
        <item x="192"/>
        <item x="147"/>
        <item x="90"/>
        <item x="378"/>
        <item x="351"/>
        <item x="28"/>
        <item x="301"/>
        <item x="217"/>
        <item x="130"/>
        <item x="106"/>
        <item x="84"/>
        <item x="206"/>
        <item x="376"/>
        <item x="152"/>
        <item x="260"/>
        <item x="352"/>
        <item x="272"/>
        <item x="193"/>
        <item x="42"/>
        <item x="69"/>
        <item x="280"/>
        <item x="370"/>
        <item x="7"/>
        <item x="35"/>
        <item x="266"/>
        <item x="73"/>
        <item x="52"/>
        <item x="26"/>
        <item x="128"/>
        <item x="96"/>
        <item x="20"/>
        <item x="118"/>
        <item x="203"/>
        <item x="385"/>
        <item x="283"/>
        <item x="247"/>
        <item x="321"/>
        <item x="302"/>
        <item x="270"/>
        <item x="168"/>
        <item x="36"/>
        <item x="261"/>
        <item x="284"/>
        <item x="155"/>
        <item x="86"/>
        <item x="98"/>
        <item x="48"/>
        <item x="71"/>
        <item x="4"/>
        <item x="197"/>
        <item x="14"/>
        <item x="56"/>
        <item x="119"/>
        <item x="178"/>
        <item x="391"/>
        <item x="109"/>
        <item x="141"/>
        <item x="277"/>
        <item x="131"/>
        <item x="169"/>
        <item x="278"/>
        <item x="368"/>
        <item x="164"/>
        <item x="293"/>
        <item x="332"/>
        <item x="160"/>
        <item x="372"/>
        <item x="43"/>
        <item x="116"/>
        <item x="16"/>
        <item x="343"/>
        <item x="83"/>
        <item x="386"/>
        <item x="63"/>
        <item x="234"/>
        <item x="88"/>
        <item x="269"/>
        <item x="144"/>
        <item x="211"/>
        <item x="177"/>
        <item x="314"/>
        <item x="1"/>
        <item x="288"/>
        <item x="216"/>
        <item x="339"/>
        <item x="9"/>
        <item x="174"/>
        <item x="204"/>
        <item x="22"/>
        <item x="363"/>
        <item x="66"/>
        <item x="243"/>
        <item x="91"/>
        <item x="167"/>
        <item x="340"/>
        <item x="323"/>
        <item x="358"/>
        <item x="194"/>
        <item x="364"/>
        <item x="320"/>
        <item x="303"/>
        <item x="173"/>
        <item x="392"/>
        <item x="44"/>
        <item x="398"/>
        <item x="224"/>
        <item x="230"/>
        <item x="162"/>
        <item x="381"/>
        <item x="318"/>
        <item x="158"/>
        <item x="27"/>
        <item x="305"/>
        <item x="23"/>
        <item x="344"/>
        <item x="161"/>
        <item x="334"/>
        <item x="319"/>
        <item x="100"/>
        <item x="122"/>
        <item x="151"/>
        <item x="114"/>
        <item x="134"/>
        <item x="163"/>
        <item x="137"/>
        <item x="15"/>
        <item x="308"/>
        <item x="310"/>
        <item x="315"/>
        <item x="227"/>
        <item x="146"/>
        <item x="46"/>
        <item x="0"/>
        <item x="268"/>
        <item x="74"/>
        <item x="11"/>
        <item x="49"/>
        <item x="359"/>
        <item x="251"/>
        <item x="212"/>
        <item x="262"/>
        <item x="316"/>
        <item x="285"/>
        <item x="123"/>
        <item x="207"/>
        <item x="256"/>
        <item x="80"/>
        <item x="132"/>
        <item x="276"/>
        <item x="253"/>
        <item x="110"/>
        <item x="394"/>
        <item x="29"/>
        <item x="273"/>
        <item x="338"/>
        <item x="240"/>
        <item x="235"/>
        <item x="382"/>
        <item x="208"/>
        <item x="366"/>
        <item x="327"/>
        <item x="188"/>
        <item x="377"/>
        <item x="165"/>
        <item x="175"/>
        <item x="281"/>
        <item x="250"/>
        <item x="61"/>
        <item x="373"/>
        <item x="5"/>
        <item x="209"/>
        <item x="296"/>
        <item x="389"/>
        <item x="12"/>
        <item x="387"/>
        <item x="87"/>
        <item x="383"/>
        <item x="195"/>
        <item x="140"/>
        <item x="101"/>
        <item x="298"/>
        <item x="115"/>
        <item x="72"/>
        <item x="10"/>
        <item x="67"/>
        <item x="237"/>
        <item x="367"/>
        <item x="33"/>
        <item x="37"/>
        <item x="68"/>
        <item x="274"/>
        <item x="393"/>
        <item x="51"/>
        <item x="85"/>
        <item x="199"/>
        <item x="297"/>
        <item x="24"/>
        <item x="263"/>
        <item x="196"/>
        <item x="231"/>
        <item x="94"/>
        <item x="95"/>
        <item x="275"/>
        <item x="198"/>
        <item x="335"/>
        <item x="102"/>
        <item x="254"/>
        <item x="322"/>
        <item x="148"/>
        <item x="93"/>
        <item x="219"/>
        <item x="41"/>
        <item x="225"/>
        <item x="336"/>
        <item x="223"/>
        <item x="107"/>
        <item x="186"/>
        <item x="82"/>
        <item x="341"/>
        <item x="299"/>
        <item x="346"/>
        <item x="264"/>
        <item x="357"/>
        <item x="213"/>
        <item x="324"/>
        <item x="182"/>
        <item x="233"/>
        <item x="215"/>
        <item x="34"/>
        <item x="129"/>
        <item x="166"/>
        <item x="45"/>
        <item x="379"/>
        <item x="265"/>
        <item x="252"/>
        <item x="54"/>
        <item x="202"/>
        <item x="92"/>
        <item x="329"/>
        <item x="124"/>
        <item x="241"/>
        <item x="325"/>
        <item x="57"/>
        <item x="89"/>
        <item x="238"/>
        <item x="200"/>
        <item x="361"/>
        <item x="245"/>
        <item x="103"/>
        <item x="120"/>
        <item x="58"/>
        <item x="347"/>
        <item x="126"/>
        <item x="271"/>
        <item x="8"/>
        <item x="201"/>
        <item x="342"/>
        <item x="289"/>
        <item x="248"/>
        <item x="97"/>
        <item x="286"/>
        <item x="191"/>
        <item x="222"/>
        <item x="258"/>
        <item x="232"/>
        <item x="176"/>
        <item x="187"/>
        <item x="138"/>
        <item x="374"/>
        <item x="375"/>
        <item x="214"/>
        <item x="239"/>
        <item x="142"/>
        <item x="259"/>
        <item x="330"/>
        <item x="38"/>
        <item x="369"/>
        <item x="156"/>
        <item x="77"/>
        <item x="306"/>
        <item x="249"/>
        <item x="172"/>
        <item x="292"/>
        <item x="30"/>
        <item x="185"/>
        <item x="348"/>
        <item x="354"/>
        <item x="326"/>
        <item x="355"/>
        <item x="304"/>
        <item x="159"/>
        <item x="380"/>
        <item x="170"/>
        <item x="184"/>
        <item x="64"/>
        <item x="149"/>
        <item x="311"/>
        <item x="267"/>
        <item x="127"/>
        <item x="257"/>
        <item x="133"/>
        <item x="25"/>
        <item x="290"/>
        <item x="70"/>
        <item x="81"/>
        <item x="17"/>
        <item x="78"/>
        <item x="333"/>
        <item x="397"/>
        <item x="371"/>
        <item x="345"/>
        <item x="312"/>
        <item x="205"/>
        <item x="390"/>
        <item x="228"/>
        <item x="396"/>
        <item x="171"/>
        <item x="190"/>
        <item x="153"/>
        <item x="384"/>
        <item x="139"/>
        <item x="218"/>
        <item x="236"/>
        <item x="136"/>
        <item x="21"/>
        <item x="55"/>
        <item x="291"/>
        <item x="246"/>
        <item x="47"/>
        <item x="13"/>
        <item x="220"/>
        <item x="150"/>
        <item x="143"/>
        <item x="59"/>
        <item x="180"/>
        <item x="353"/>
        <item x="79"/>
        <item x="117"/>
        <item x="365"/>
        <item x="226"/>
        <item x="331"/>
        <item x="328"/>
        <item x="105"/>
        <item x="395"/>
        <item x="307"/>
        <item x="99"/>
        <item x="75"/>
        <item x="242"/>
        <item x="39"/>
        <item x="31"/>
        <item x="356"/>
        <item x="210"/>
        <item x="76"/>
        <item x="279"/>
        <item x="154"/>
        <item x="111"/>
        <item x="60"/>
        <item x="6"/>
        <item x="19"/>
        <item x="282"/>
        <item x="309"/>
        <item x="121"/>
        <item x="295"/>
        <item x="294"/>
        <item x="157"/>
        <item x="108"/>
        <item x="229"/>
        <item x="360"/>
        <item x="135"/>
        <item x="40"/>
        <item x="179"/>
        <item x="62"/>
        <item x="125"/>
        <item x="362"/>
        <item x="244"/>
        <item x="18"/>
        <item x="313"/>
        <item x="112"/>
        <item x="255"/>
        <item x="189"/>
        <item x="32"/>
        <item x="2"/>
        <item x="337"/>
        <item x="3"/>
        <item x="145"/>
        <item x="53"/>
        <item x="221"/>
        <item x="388"/>
        <item x="50"/>
        <item x="349"/>
        <item x="300"/>
        <item x="113"/>
        <item x="402"/>
        <item t="default" sd="0"/>
      </items>
    </pivotField>
    <pivotField name="Datum" compact="0" outline="0" showAll="0">
      <items count="231">
        <item x="2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 sd="0"/>
      </items>
    </pivotField>
    <pivotField name="Abteilung" axis="axisRow" compact="0" numFmtId="49" outline="0" showAll="0" sortType="ascending">
      <items count="7">
        <item x="0"/>
        <item x="4"/>
        <item x="1"/>
        <item x="3"/>
        <item x="2"/>
        <item x="5"/>
        <item t="default" sd="0"/>
      </items>
    </pivotField>
    <pivotField name="Bearbeiter" compact="0" outline="0" showAll="0">
      <items count="13">
        <item x="6"/>
        <item x="10"/>
        <item x="9"/>
        <item x="2"/>
        <item x="0"/>
        <item x="7"/>
        <item x="4"/>
        <item x="3"/>
        <item x="1"/>
        <item x="8"/>
        <item x="5"/>
        <item x="11"/>
        <item t="default" sd="0"/>
      </items>
    </pivotField>
    <pivotField name="Vorgangstyp" compact="0" outline="0" showAll="0">
      <items count="14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x="12"/>
        <item t="default" sd="0"/>
      </items>
    </pivotField>
    <pivotField name="Bearbeitungsdauer_Min" compact="0" outline="0" showAll="0">
      <items count="70">
        <item x="39"/>
        <item x="33"/>
        <item x="21"/>
        <item x="41"/>
        <item x="28"/>
        <item x="47"/>
        <item x="23"/>
        <item x="16"/>
        <item x="45"/>
        <item x="35"/>
        <item x="53"/>
        <item x="22"/>
        <item x="38"/>
        <item x="44"/>
        <item x="5"/>
        <item x="12"/>
        <item x="18"/>
        <item x="4"/>
        <item x="34"/>
        <item x="10"/>
        <item x="11"/>
        <item x="8"/>
        <item x="6"/>
        <item x="0"/>
        <item x="17"/>
        <item x="15"/>
        <item x="20"/>
        <item x="1"/>
        <item x="19"/>
        <item x="32"/>
        <item x="14"/>
        <item x="49"/>
        <item x="42"/>
        <item x="13"/>
        <item x="25"/>
        <item x="40"/>
        <item x="3"/>
        <item x="2"/>
        <item x="56"/>
        <item x="52"/>
        <item x="36"/>
        <item x="24"/>
        <item x="48"/>
        <item x="51"/>
        <item x="26"/>
        <item x="27"/>
        <item x="58"/>
        <item x="67"/>
        <item x="7"/>
        <item x="29"/>
        <item x="65"/>
        <item x="60"/>
        <item x="30"/>
        <item x="9"/>
        <item x="57"/>
        <item x="59"/>
        <item x="50"/>
        <item x="43"/>
        <item x="37"/>
        <item x="46"/>
        <item x="54"/>
        <item x="62"/>
        <item x="55"/>
        <item x="61"/>
        <item x="66"/>
        <item x="63"/>
        <item x="31"/>
        <item x="64"/>
        <item x="68"/>
        <item t="default" sd="0"/>
      </items>
    </pivotField>
    <pivotField name="Kosten_EUR" axis="axisPage" dataField="1" compact="0" outline="0" multipleItemSelectionAllowed="1" showAll="0">
      <items count="395">
        <item x="236"/>
        <item x="87"/>
        <item x="269"/>
        <item x="65"/>
        <item x="255"/>
        <item x="112"/>
        <item x="189"/>
        <item x="375"/>
        <item x="106"/>
        <item x="336"/>
        <item x="98"/>
        <item x="320"/>
        <item x="286"/>
        <item x="365"/>
        <item x="103"/>
        <item x="29"/>
        <item x="37"/>
        <item x="41"/>
        <item x="91"/>
        <item x="228"/>
        <item x="125"/>
        <item x="96"/>
        <item x="22"/>
        <item x="63"/>
        <item x="345"/>
        <item x="316"/>
        <item x="52"/>
        <item x="279"/>
        <item x="253"/>
        <item x="197"/>
        <item x="246"/>
        <item x="218"/>
        <item x="389"/>
        <item x="57"/>
        <item x="234"/>
        <item x="313"/>
        <item x="155"/>
        <item x="309"/>
        <item x="183"/>
        <item x="146"/>
        <item x="100"/>
        <item x="54"/>
        <item x="119"/>
        <item x="349"/>
        <item x="50"/>
        <item x="237"/>
        <item x="156"/>
        <item x="387"/>
        <item x="369"/>
        <item x="190"/>
        <item x="120"/>
        <item x="33"/>
        <item x="292"/>
        <item x="290"/>
        <item x="124"/>
        <item x="32"/>
        <item x="75"/>
        <item x="327"/>
        <item x="274"/>
        <item x="149"/>
        <item x="154"/>
        <item x="117"/>
        <item x="216"/>
        <item x="301"/>
        <item x="355"/>
        <item x="293"/>
        <item x="181"/>
        <item x="53"/>
        <item x="104"/>
        <item x="270"/>
        <item x="366"/>
        <item x="229"/>
        <item x="231"/>
        <item x="74"/>
        <item x="214"/>
        <item x="163"/>
        <item x="247"/>
        <item x="191"/>
        <item x="248"/>
        <item x="138"/>
        <item x="114"/>
        <item x="134"/>
        <item x="315"/>
        <item x="15"/>
        <item x="381"/>
        <item x="179"/>
        <item x="321"/>
        <item x="69"/>
        <item x="379"/>
        <item x="297"/>
        <item x="244"/>
        <item x="298"/>
        <item x="25"/>
        <item x="243"/>
        <item x="186"/>
        <item x="153"/>
        <item x="14"/>
        <item x="169"/>
        <item x="213"/>
        <item x="324"/>
        <item x="95"/>
        <item x="70"/>
        <item x="254"/>
        <item x="5"/>
        <item x="184"/>
        <item x="198"/>
        <item x="380"/>
        <item x="171"/>
        <item x="30"/>
        <item x="84"/>
        <item x="353"/>
        <item x="71"/>
        <item x="333"/>
        <item x="48"/>
        <item x="207"/>
        <item x="329"/>
        <item x="312"/>
        <item x="24"/>
        <item x="11"/>
        <item x="223"/>
        <item x="59"/>
        <item x="13"/>
        <item x="165"/>
        <item x="340"/>
        <item x="101"/>
        <item x="158"/>
        <item x="358"/>
        <item x="121"/>
        <item x="311"/>
        <item x="58"/>
        <item x="105"/>
        <item x="384"/>
        <item x="257"/>
        <item x="7"/>
        <item x="92"/>
        <item x="232"/>
        <item x="34"/>
        <item x="352"/>
        <item x="136"/>
        <item x="132"/>
        <item x="140"/>
        <item x="72"/>
        <item x="145"/>
        <item x="61"/>
        <item x="252"/>
        <item x="289"/>
        <item x="348"/>
        <item x="168"/>
        <item x="245"/>
        <item x="364"/>
        <item x="374"/>
        <item x="170"/>
        <item x="31"/>
        <item x="302"/>
        <item x="205"/>
        <item x="175"/>
        <item x="330"/>
        <item x="294"/>
        <item x="222"/>
        <item x="6"/>
        <item x="208"/>
        <item x="81"/>
        <item x="1"/>
        <item x="94"/>
        <item x="93"/>
        <item x="109"/>
        <item x="193"/>
        <item x="258"/>
        <item x="295"/>
        <item x="102"/>
        <item x="383"/>
        <item x="4"/>
        <item x="230"/>
        <item x="133"/>
        <item x="249"/>
        <item x="66"/>
        <item x="251"/>
        <item x="26"/>
        <item x="284"/>
        <item x="299"/>
        <item x="182"/>
        <item x="176"/>
        <item x="159"/>
        <item x="334"/>
        <item x="280"/>
        <item x="44"/>
        <item x="363"/>
        <item x="62"/>
        <item x="305"/>
        <item x="341"/>
        <item x="282"/>
        <item x="227"/>
        <item x="116"/>
        <item x="166"/>
        <item x="300"/>
        <item x="296"/>
        <item x="308"/>
        <item x="79"/>
        <item x="217"/>
        <item x="386"/>
        <item x="68"/>
        <item x="137"/>
        <item x="267"/>
        <item x="268"/>
        <item x="304"/>
        <item x="276"/>
        <item x="382"/>
        <item x="18"/>
        <item x="19"/>
        <item x="212"/>
        <item x="0"/>
        <item x="239"/>
        <item x="196"/>
        <item x="278"/>
        <item x="126"/>
        <item x="67"/>
        <item x="167"/>
        <item x="113"/>
        <item x="40"/>
        <item x="107"/>
        <item x="210"/>
        <item x="314"/>
        <item x="233"/>
        <item x="192"/>
        <item x="260"/>
        <item x="368"/>
        <item x="303"/>
        <item x="147"/>
        <item x="80"/>
        <item x="178"/>
        <item x="27"/>
        <item x="373"/>
        <item x="8"/>
        <item x="148"/>
        <item x="266"/>
        <item x="307"/>
        <item x="219"/>
        <item x="173"/>
        <item x="162"/>
        <item x="256"/>
        <item x="322"/>
        <item x="344"/>
        <item x="272"/>
        <item x="164"/>
        <item x="64"/>
        <item x="351"/>
        <item x="78"/>
        <item x="38"/>
        <item x="211"/>
        <item x="111"/>
        <item x="88"/>
        <item x="242"/>
        <item x="354"/>
        <item x="241"/>
        <item x="185"/>
        <item x="3"/>
        <item x="332"/>
        <item x="43"/>
        <item x="199"/>
        <item x="264"/>
        <item x="331"/>
        <item x="35"/>
        <item x="77"/>
        <item x="288"/>
        <item x="151"/>
        <item x="317"/>
        <item x="174"/>
        <item x="28"/>
        <item x="157"/>
        <item x="215"/>
        <item x="160"/>
        <item x="123"/>
        <item x="73"/>
        <item x="339"/>
        <item x="83"/>
        <item x="127"/>
        <item x="85"/>
        <item x="143"/>
        <item x="51"/>
        <item x="392"/>
        <item x="310"/>
        <item x="23"/>
        <item x="16"/>
        <item x="187"/>
        <item x="161"/>
        <item x="306"/>
        <item x="335"/>
        <item x="99"/>
        <item x="323"/>
        <item x="128"/>
        <item x="346"/>
        <item x="350"/>
        <item x="36"/>
        <item x="261"/>
        <item x="2"/>
        <item x="265"/>
        <item x="250"/>
        <item x="338"/>
        <item x="152"/>
        <item x="200"/>
        <item x="337"/>
        <item x="130"/>
        <item x="259"/>
        <item x="271"/>
        <item x="221"/>
        <item x="135"/>
        <item x="89"/>
        <item x="21"/>
        <item x="209"/>
        <item x="110"/>
        <item x="238"/>
        <item x="172"/>
        <item x="370"/>
        <item x="263"/>
        <item x="90"/>
        <item x="45"/>
        <item x="235"/>
        <item x="388"/>
        <item x="141"/>
        <item x="275"/>
        <item x="220"/>
        <item x="82"/>
        <item x="76"/>
        <item x="177"/>
        <item x="42"/>
        <item x="131"/>
        <item x="180"/>
        <item x="283"/>
        <item x="20"/>
        <item x="226"/>
        <item x="203"/>
        <item x="97"/>
        <item x="206"/>
        <item x="391"/>
        <item x="17"/>
        <item x="108"/>
        <item x="376"/>
        <item x="367"/>
        <item x="55"/>
        <item x="10"/>
        <item x="142"/>
        <item x="360"/>
        <item x="377"/>
        <item x="357"/>
        <item x="273"/>
        <item x="46"/>
        <item x="39"/>
        <item x="343"/>
        <item x="287"/>
        <item x="225"/>
        <item x="150"/>
        <item x="47"/>
        <item x="144"/>
        <item x="118"/>
        <item x="129"/>
        <item x="372"/>
        <item x="318"/>
        <item x="12"/>
        <item x="49"/>
        <item x="326"/>
        <item x="115"/>
        <item x="371"/>
        <item x="359"/>
        <item x="328"/>
        <item x="240"/>
        <item x="204"/>
        <item x="385"/>
        <item x="390"/>
        <item x="9"/>
        <item x="195"/>
        <item x="281"/>
        <item x="139"/>
        <item x="56"/>
        <item x="378"/>
        <item x="277"/>
        <item x="362"/>
        <item x="361"/>
        <item x="86"/>
        <item x="325"/>
        <item x="262"/>
        <item x="194"/>
        <item x="347"/>
        <item x="224"/>
        <item x="285"/>
        <item x="122"/>
        <item x="188"/>
        <item x="202"/>
        <item x="356"/>
        <item x="201"/>
        <item x="291"/>
        <item x="319"/>
        <item x="60"/>
        <item x="342"/>
        <item h="1" x="393"/>
        <item t="default" sd="0"/>
      </items>
    </pivotField>
    <pivotField name="SLA_Status" compact="0" outline="0" showAll="0">
      <items count="4">
        <item x="0"/>
        <item x="1"/>
        <item x="2"/>
        <item t="default" sd="0"/>
      </items>
    </pivotField>
    <pivotField name="KOSTEN PRO MINUTE" compact="0" outline="0" showAll="0">
      <items count="394">
        <item x="217"/>
        <item x="269"/>
        <item x="91"/>
        <item x="95"/>
        <item x="388"/>
        <item x="379"/>
        <item x="318"/>
        <item x="216"/>
        <item x="343"/>
        <item x="348"/>
        <item x="253"/>
        <item x="229"/>
        <item x="24"/>
        <item x="114"/>
        <item x="37"/>
        <item x="212"/>
        <item x="278"/>
        <item x="132"/>
        <item x="252"/>
        <item x="154"/>
        <item x="134"/>
        <item x="182"/>
        <item x="14"/>
        <item x="183"/>
        <item x="228"/>
        <item x="87"/>
        <item x="41"/>
        <item x="362"/>
        <item x="48"/>
        <item x="116"/>
        <item x="169"/>
        <item x="298"/>
        <item x="313"/>
        <item x="189"/>
        <item x="167"/>
        <item x="234"/>
        <item x="309"/>
        <item x="32"/>
        <item x="75"/>
        <item x="235"/>
        <item x="364"/>
        <item x="84"/>
        <item x="246"/>
        <item x="135"/>
        <item x="100"/>
        <item x="354"/>
        <item x="1"/>
        <item x="101"/>
        <item x="54"/>
        <item x="74"/>
        <item x="237"/>
        <item x="268"/>
        <item x="244"/>
        <item x="211"/>
        <item x="283"/>
        <item x="58"/>
        <item x="248"/>
        <item x="11"/>
        <item x="215"/>
        <item x="256"/>
        <item x="7"/>
        <item x="251"/>
        <item x="352"/>
        <item x="164"/>
        <item x="380"/>
        <item x="79"/>
        <item x="150"/>
        <item x="65"/>
        <item x="371"/>
        <item x="206"/>
        <item x="22"/>
        <item x="287"/>
        <item x="296"/>
        <item x="373"/>
        <item x="63"/>
        <item x="207"/>
        <item x="289"/>
        <item x="290"/>
        <item x="311"/>
        <item x="180"/>
        <item x="30"/>
        <item x="53"/>
        <item x="391"/>
        <item x="314"/>
        <item x="152"/>
        <item x="153"/>
        <item x="372"/>
        <item x="381"/>
        <item x="338"/>
        <item x="31"/>
        <item x="103"/>
        <item x="367"/>
        <item x="71"/>
        <item x="254"/>
        <item x="331"/>
        <item x="266"/>
        <item x="147"/>
        <item x="319"/>
        <item x="157"/>
        <item x="227"/>
        <item x="181"/>
        <item x="145"/>
        <item x="123"/>
        <item x="294"/>
        <item x="310"/>
        <item x="332"/>
        <item x="106"/>
        <item x="247"/>
        <item x="25"/>
        <item x="264"/>
        <item x="136"/>
        <item x="192"/>
        <item x="33"/>
        <item x="3"/>
        <item x="13"/>
        <item x="295"/>
        <item x="250"/>
        <item x="70"/>
        <item x="334"/>
        <item x="191"/>
        <item x="386"/>
        <item x="197"/>
        <item x="15"/>
        <item x="232"/>
        <item x="165"/>
        <item x="148"/>
        <item x="168"/>
        <item x="351"/>
        <item x="342"/>
        <item x="72"/>
        <item x="190"/>
        <item x="124"/>
        <item x="61"/>
        <item x="161"/>
        <item x="121"/>
        <item x="245"/>
        <item x="307"/>
        <item x="226"/>
        <item x="221"/>
        <item x="303"/>
        <item x="327"/>
        <item x="141"/>
        <item x="302"/>
        <item x="27"/>
        <item x="208"/>
        <item x="170"/>
        <item x="195"/>
        <item x="175"/>
        <item x="55"/>
        <item x="243"/>
        <item x="230"/>
        <item x="59"/>
        <item x="336"/>
        <item x="18"/>
        <item x="204"/>
        <item x="66"/>
        <item x="133"/>
        <item x="347"/>
        <item x="321"/>
        <item x="125"/>
        <item x="361"/>
        <item x="341"/>
        <item x="38"/>
        <item x="109"/>
        <item x="210"/>
        <item x="113"/>
        <item x="23"/>
        <item x="80"/>
        <item x="82"/>
        <item x="249"/>
        <item x="185"/>
        <item x="138"/>
        <item x="64"/>
        <item x="356"/>
        <item x="198"/>
        <item x="353"/>
        <item x="376"/>
        <item x="325"/>
        <item x="12"/>
        <item x="383"/>
        <item x="126"/>
        <item x="29"/>
        <item x="142"/>
        <item x="326"/>
        <item x="196"/>
        <item x="258"/>
        <item x="78"/>
        <item x="366"/>
        <item x="40"/>
        <item x="263"/>
        <item x="239"/>
        <item x="2"/>
        <item x="324"/>
        <item x="184"/>
        <item x="155"/>
        <item x="51"/>
        <item x="5"/>
        <item x="265"/>
        <item x="90"/>
        <item x="119"/>
        <item x="144"/>
        <item x="131"/>
        <item x="299"/>
        <item x="0"/>
        <item x="99"/>
        <item x="67"/>
        <item x="301"/>
        <item x="241"/>
        <item x="236"/>
        <item x="166"/>
        <item x="57"/>
        <item x="112"/>
        <item x="272"/>
        <item x="300"/>
        <item x="94"/>
        <item x="179"/>
        <item x="77"/>
        <item x="240"/>
        <item x="173"/>
        <item x="34"/>
        <item x="333"/>
        <item x="115"/>
        <item x="16"/>
        <item x="271"/>
        <item x="76"/>
        <item x="19"/>
        <item x="158"/>
        <item x="73"/>
        <item x="308"/>
        <item x="329"/>
        <item x="118"/>
        <item x="291"/>
        <item x="350"/>
        <item x="358"/>
        <item x="50"/>
        <item x="44"/>
        <item x="375"/>
        <item x="21"/>
        <item x="81"/>
        <item x="389"/>
        <item x="107"/>
        <item x="46"/>
        <item x="176"/>
        <item x="160"/>
        <item x="188"/>
        <item x="363"/>
        <item x="137"/>
        <item x="96"/>
        <item x="224"/>
        <item x="257"/>
        <item x="108"/>
        <item x="277"/>
        <item x="274"/>
        <item x="297"/>
        <item x="346"/>
        <item x="293"/>
        <item x="35"/>
        <item x="370"/>
        <item x="286"/>
        <item x="369"/>
        <item x="8"/>
        <item x="213"/>
        <item x="62"/>
        <item x="128"/>
        <item x="359"/>
        <item x="45"/>
        <item x="267"/>
        <item x="6"/>
        <item x="52"/>
        <item x="139"/>
        <item x="209"/>
        <item x="255"/>
        <item x="225"/>
        <item x="312"/>
        <item x="275"/>
        <item x="85"/>
        <item x="104"/>
        <item x="151"/>
        <item x="231"/>
        <item x="105"/>
        <item x="86"/>
        <item x="273"/>
        <item x="111"/>
        <item x="259"/>
        <item x="199"/>
        <item x="140"/>
        <item x="242"/>
        <item x="146"/>
        <item x="202"/>
        <item x="292"/>
        <item x="315"/>
        <item x="284"/>
        <item x="276"/>
        <item x="382"/>
        <item x="172"/>
        <item x="4"/>
        <item x="186"/>
        <item x="306"/>
        <item x="337"/>
        <item x="156"/>
        <item x="280"/>
        <item x="117"/>
        <item x="193"/>
        <item x="39"/>
        <item x="323"/>
        <item x="222"/>
        <item x="328"/>
        <item x="279"/>
        <item x="304"/>
        <item x="260"/>
        <item x="143"/>
        <item x="335"/>
        <item x="130"/>
        <item x="316"/>
        <item x="270"/>
        <item x="171"/>
        <item x="322"/>
        <item x="178"/>
        <item x="357"/>
        <item x="89"/>
        <item x="28"/>
        <item x="214"/>
        <item x="88"/>
        <item x="56"/>
        <item x="177"/>
        <item x="49"/>
        <item x="262"/>
        <item x="355"/>
        <item x="377"/>
        <item x="43"/>
        <item x="102"/>
        <item x="360"/>
        <item x="174"/>
        <item x="282"/>
        <item x="285"/>
        <item x="205"/>
        <item x="162"/>
        <item x="122"/>
        <item x="385"/>
        <item x="194"/>
        <item x="68"/>
        <item x="47"/>
        <item x="9"/>
        <item x="10"/>
        <item x="110"/>
        <item x="305"/>
        <item x="42"/>
        <item x="149"/>
        <item x="261"/>
        <item x="378"/>
        <item x="83"/>
        <item x="339"/>
        <item x="238"/>
        <item x="281"/>
        <item x="233"/>
        <item x="387"/>
        <item x="98"/>
        <item x="93"/>
        <item x="26"/>
        <item x="97"/>
        <item x="163"/>
        <item x="127"/>
        <item x="20"/>
        <item x="330"/>
        <item x="218"/>
        <item x="69"/>
        <item x="92"/>
        <item x="220"/>
        <item x="390"/>
        <item x="36"/>
        <item x="320"/>
        <item x="219"/>
        <item x="203"/>
        <item x="120"/>
        <item x="159"/>
        <item x="374"/>
        <item x="187"/>
        <item x="349"/>
        <item x="345"/>
        <item x="384"/>
        <item x="129"/>
        <item x="317"/>
        <item x="60"/>
        <item x="200"/>
        <item x="344"/>
        <item x="223"/>
        <item x="368"/>
        <item x="365"/>
        <item x="17"/>
        <item x="288"/>
        <item x="201"/>
        <item x="340"/>
        <item x="392"/>
        <item t="default" sd="0"/>
      </items>
    </pivotField>
    <pivotField name="Bearbeitungsdauer pro Interval1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nterval2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st Spalte F leer?" compact="0" outline="0" showAll="0">
      <items count="3">
        <item x="0"/>
        <item x="1"/>
        <item t="default" sd="0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>
      <x/>
    </i>
  </colItems>
  <pageFields count="1">
    <pageField fld="6" hier="-1"/>
  </pageFields>
  <dataFields count="2">
    <dataField name="Summe von Kosten_EUR" fld="6" numFmtId="1"/>
    <dataField name="Summe von Kosten_EUR" fld="6" showDataAs="percentOfTotal" baseField="0" baseItem="0" numFmtId="1"/>
  </dataFields>
  <pivotTableStyleInfo name="PivotStyleCustom05" showRowHeaders="1" showColHeaders="1" showRowStripes="1" showColStripes="0" showLastColumn="1"/>
</pivotTableDefinition>
</file>

<file path=xl/pivotTables/pivotTable6.xml><?xml version="1.0" encoding="utf-8"?>
<pivotTableDefinition xmlns="http://schemas.openxmlformats.org/spreadsheetml/2006/main" name="Tabelle 1 Pivot" cacheId="5" dataPosition="0" autoFormatId="0" applyNumberFormats="0" applyBorderFormats="0" applyFontFormats="0" applyPatternFormats="0" applyAlignmentFormats="0" applyWidthHeightFormats="1" dataCaption="" missingCaption="" pivotTableStyle="PivotStyleCustom06" updatedVersion="7" useAutoFormatting="1" createdVersion="7" indent="0" showEmptyCol="1" showEmptyRow="1" compact="0" compactData="0" multipleFieldFilters="0">
  <location ref="A4:B17" firstHeaderRow="1" firstDataRow="1" firstDataCol="1" rowPageCount="1" colPageCount="1"/>
  <pivotFields count="12">
    <pivotField name="VorgangsID" compact="0" outline="0" showAll="0">
      <items count="405">
        <item x="403"/>
        <item x="400"/>
        <item x="401"/>
        <item x="399"/>
        <item x="350"/>
        <item x="287"/>
        <item x="104"/>
        <item x="317"/>
        <item x="181"/>
        <item x="183"/>
        <item x="65"/>
        <item x="192"/>
        <item x="147"/>
        <item x="90"/>
        <item x="378"/>
        <item x="351"/>
        <item x="28"/>
        <item x="301"/>
        <item x="217"/>
        <item x="130"/>
        <item x="106"/>
        <item x="84"/>
        <item x="206"/>
        <item x="376"/>
        <item x="152"/>
        <item x="260"/>
        <item x="352"/>
        <item x="272"/>
        <item x="193"/>
        <item x="42"/>
        <item x="69"/>
        <item x="280"/>
        <item x="370"/>
        <item x="7"/>
        <item x="35"/>
        <item x="266"/>
        <item x="73"/>
        <item x="52"/>
        <item x="26"/>
        <item x="128"/>
        <item x="96"/>
        <item x="20"/>
        <item x="118"/>
        <item x="203"/>
        <item x="385"/>
        <item x="283"/>
        <item x="247"/>
        <item x="321"/>
        <item x="302"/>
        <item x="270"/>
        <item x="168"/>
        <item x="36"/>
        <item x="261"/>
        <item x="284"/>
        <item x="155"/>
        <item x="86"/>
        <item x="98"/>
        <item x="48"/>
        <item x="71"/>
        <item x="4"/>
        <item x="197"/>
        <item x="14"/>
        <item x="56"/>
        <item x="119"/>
        <item x="178"/>
        <item x="391"/>
        <item x="109"/>
        <item x="141"/>
        <item x="277"/>
        <item x="131"/>
        <item x="169"/>
        <item x="278"/>
        <item x="368"/>
        <item x="164"/>
        <item x="293"/>
        <item x="332"/>
        <item x="160"/>
        <item x="372"/>
        <item x="43"/>
        <item x="116"/>
        <item x="16"/>
        <item x="343"/>
        <item x="83"/>
        <item x="386"/>
        <item x="63"/>
        <item x="234"/>
        <item x="88"/>
        <item x="269"/>
        <item x="144"/>
        <item x="211"/>
        <item x="177"/>
        <item x="314"/>
        <item x="1"/>
        <item x="288"/>
        <item x="216"/>
        <item x="339"/>
        <item x="9"/>
        <item x="174"/>
        <item x="204"/>
        <item x="22"/>
        <item x="363"/>
        <item x="66"/>
        <item x="243"/>
        <item x="91"/>
        <item x="167"/>
        <item x="340"/>
        <item x="323"/>
        <item x="358"/>
        <item x="194"/>
        <item x="364"/>
        <item x="320"/>
        <item x="303"/>
        <item x="173"/>
        <item x="392"/>
        <item x="44"/>
        <item x="398"/>
        <item x="224"/>
        <item x="230"/>
        <item x="162"/>
        <item x="381"/>
        <item x="318"/>
        <item x="158"/>
        <item x="27"/>
        <item x="305"/>
        <item x="23"/>
        <item x="344"/>
        <item x="161"/>
        <item x="334"/>
        <item x="319"/>
        <item x="100"/>
        <item x="122"/>
        <item x="151"/>
        <item x="114"/>
        <item x="134"/>
        <item x="163"/>
        <item x="137"/>
        <item x="15"/>
        <item x="308"/>
        <item x="310"/>
        <item x="315"/>
        <item x="227"/>
        <item x="146"/>
        <item x="46"/>
        <item x="0"/>
        <item x="268"/>
        <item x="74"/>
        <item x="11"/>
        <item x="49"/>
        <item x="359"/>
        <item x="251"/>
        <item x="212"/>
        <item x="262"/>
        <item x="316"/>
        <item x="285"/>
        <item x="123"/>
        <item x="207"/>
        <item x="256"/>
        <item x="80"/>
        <item x="132"/>
        <item x="276"/>
        <item x="253"/>
        <item x="110"/>
        <item x="394"/>
        <item x="29"/>
        <item x="273"/>
        <item x="338"/>
        <item x="240"/>
        <item x="235"/>
        <item x="382"/>
        <item x="208"/>
        <item x="366"/>
        <item x="327"/>
        <item x="188"/>
        <item x="377"/>
        <item x="165"/>
        <item x="175"/>
        <item x="281"/>
        <item x="250"/>
        <item x="61"/>
        <item x="373"/>
        <item x="5"/>
        <item x="209"/>
        <item x="296"/>
        <item x="389"/>
        <item x="12"/>
        <item x="387"/>
        <item x="87"/>
        <item x="383"/>
        <item x="195"/>
        <item x="140"/>
        <item x="101"/>
        <item x="298"/>
        <item x="115"/>
        <item x="72"/>
        <item x="10"/>
        <item x="67"/>
        <item x="237"/>
        <item x="367"/>
        <item x="33"/>
        <item x="37"/>
        <item x="68"/>
        <item x="274"/>
        <item x="393"/>
        <item x="51"/>
        <item x="85"/>
        <item x="199"/>
        <item x="297"/>
        <item x="24"/>
        <item x="263"/>
        <item x="196"/>
        <item x="231"/>
        <item x="94"/>
        <item x="95"/>
        <item x="275"/>
        <item x="198"/>
        <item x="335"/>
        <item x="102"/>
        <item x="254"/>
        <item x="322"/>
        <item x="148"/>
        <item x="93"/>
        <item x="219"/>
        <item x="41"/>
        <item x="225"/>
        <item x="336"/>
        <item x="223"/>
        <item x="107"/>
        <item x="186"/>
        <item x="82"/>
        <item x="341"/>
        <item x="299"/>
        <item x="346"/>
        <item x="264"/>
        <item x="357"/>
        <item x="213"/>
        <item x="324"/>
        <item x="182"/>
        <item x="233"/>
        <item x="215"/>
        <item x="34"/>
        <item x="129"/>
        <item x="166"/>
        <item x="45"/>
        <item x="379"/>
        <item x="265"/>
        <item x="252"/>
        <item x="54"/>
        <item x="202"/>
        <item x="92"/>
        <item x="329"/>
        <item x="124"/>
        <item x="241"/>
        <item x="325"/>
        <item x="57"/>
        <item x="89"/>
        <item x="238"/>
        <item x="200"/>
        <item x="361"/>
        <item x="245"/>
        <item x="103"/>
        <item x="120"/>
        <item x="58"/>
        <item x="347"/>
        <item x="126"/>
        <item x="271"/>
        <item x="8"/>
        <item x="201"/>
        <item x="342"/>
        <item x="289"/>
        <item x="248"/>
        <item x="97"/>
        <item x="286"/>
        <item x="191"/>
        <item x="222"/>
        <item x="258"/>
        <item x="232"/>
        <item x="176"/>
        <item x="187"/>
        <item x="138"/>
        <item x="374"/>
        <item x="375"/>
        <item x="214"/>
        <item x="239"/>
        <item x="142"/>
        <item x="259"/>
        <item x="330"/>
        <item x="38"/>
        <item x="369"/>
        <item x="156"/>
        <item x="77"/>
        <item x="306"/>
        <item x="249"/>
        <item x="172"/>
        <item x="292"/>
        <item x="30"/>
        <item x="185"/>
        <item x="348"/>
        <item x="354"/>
        <item x="326"/>
        <item x="355"/>
        <item x="304"/>
        <item x="159"/>
        <item x="380"/>
        <item x="170"/>
        <item x="184"/>
        <item x="64"/>
        <item x="149"/>
        <item x="311"/>
        <item x="267"/>
        <item x="127"/>
        <item x="257"/>
        <item x="133"/>
        <item x="25"/>
        <item x="290"/>
        <item x="70"/>
        <item x="81"/>
        <item x="17"/>
        <item x="78"/>
        <item x="333"/>
        <item x="397"/>
        <item x="371"/>
        <item x="345"/>
        <item x="312"/>
        <item x="205"/>
        <item x="390"/>
        <item x="228"/>
        <item x="396"/>
        <item x="171"/>
        <item x="190"/>
        <item x="153"/>
        <item x="384"/>
        <item x="139"/>
        <item x="218"/>
        <item x="236"/>
        <item x="136"/>
        <item x="21"/>
        <item x="55"/>
        <item x="291"/>
        <item x="246"/>
        <item x="47"/>
        <item x="13"/>
        <item x="220"/>
        <item x="150"/>
        <item x="143"/>
        <item x="59"/>
        <item x="180"/>
        <item x="353"/>
        <item x="79"/>
        <item x="117"/>
        <item x="365"/>
        <item x="226"/>
        <item x="331"/>
        <item x="328"/>
        <item x="105"/>
        <item x="395"/>
        <item x="307"/>
        <item x="99"/>
        <item x="75"/>
        <item x="242"/>
        <item x="39"/>
        <item x="31"/>
        <item x="356"/>
        <item x="210"/>
        <item x="76"/>
        <item x="279"/>
        <item x="154"/>
        <item x="111"/>
        <item x="60"/>
        <item x="6"/>
        <item x="19"/>
        <item x="282"/>
        <item x="309"/>
        <item x="121"/>
        <item x="295"/>
        <item x="294"/>
        <item x="157"/>
        <item x="108"/>
        <item x="229"/>
        <item x="360"/>
        <item x="135"/>
        <item x="40"/>
        <item x="179"/>
        <item x="62"/>
        <item x="125"/>
        <item x="362"/>
        <item x="244"/>
        <item x="18"/>
        <item x="313"/>
        <item x="112"/>
        <item x="255"/>
        <item x="189"/>
        <item x="32"/>
        <item x="2"/>
        <item x="337"/>
        <item x="3"/>
        <item x="145"/>
        <item x="53"/>
        <item x="221"/>
        <item x="388"/>
        <item x="50"/>
        <item x="349"/>
        <item x="300"/>
        <item x="113"/>
        <item x="402"/>
        <item t="default" sd="0"/>
      </items>
    </pivotField>
    <pivotField name="Datum" axis="axisRow" compact="0" numFmtId="60" outline="0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 sd="0"/>
      </items>
    </pivotField>
    <pivotField name="Abteilung" compact="0" outline="0" showAll="0">
      <items count="7">
        <item x="0"/>
        <item x="4"/>
        <item x="1"/>
        <item x="3"/>
        <item x="2"/>
        <item x="5"/>
        <item t="default" sd="0"/>
      </items>
    </pivotField>
    <pivotField name="Bearbeiter" compact="0" outline="0" showAll="0">
      <items count="13">
        <item x="6"/>
        <item x="10"/>
        <item x="9"/>
        <item x="2"/>
        <item x="0"/>
        <item x="7"/>
        <item x="4"/>
        <item x="3"/>
        <item x="1"/>
        <item x="8"/>
        <item x="5"/>
        <item x="11"/>
        <item t="default" sd="0"/>
      </items>
    </pivotField>
    <pivotField name="Vorgangstyp" compact="0" outline="0" showAll="0">
      <items count="14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x="12"/>
        <item t="default" sd="0"/>
      </items>
    </pivotField>
    <pivotField name="Bearbeitungsdauer_Min" compact="0" outline="0" showAll="0">
      <items count="70">
        <item x="39"/>
        <item x="33"/>
        <item x="21"/>
        <item x="41"/>
        <item x="28"/>
        <item x="47"/>
        <item x="23"/>
        <item x="16"/>
        <item x="45"/>
        <item x="35"/>
        <item x="53"/>
        <item x="22"/>
        <item x="38"/>
        <item x="44"/>
        <item x="5"/>
        <item x="12"/>
        <item x="18"/>
        <item x="4"/>
        <item x="34"/>
        <item x="10"/>
        <item x="11"/>
        <item x="8"/>
        <item x="6"/>
        <item x="0"/>
        <item x="17"/>
        <item x="15"/>
        <item x="20"/>
        <item x="1"/>
        <item x="19"/>
        <item x="32"/>
        <item x="14"/>
        <item x="49"/>
        <item x="42"/>
        <item x="13"/>
        <item x="25"/>
        <item x="40"/>
        <item x="3"/>
        <item x="2"/>
        <item x="56"/>
        <item x="52"/>
        <item x="36"/>
        <item x="24"/>
        <item x="48"/>
        <item x="51"/>
        <item x="26"/>
        <item x="27"/>
        <item x="58"/>
        <item x="67"/>
        <item x="7"/>
        <item x="29"/>
        <item x="65"/>
        <item x="60"/>
        <item x="30"/>
        <item x="9"/>
        <item x="57"/>
        <item x="59"/>
        <item x="50"/>
        <item x="43"/>
        <item x="37"/>
        <item x="46"/>
        <item x="54"/>
        <item x="62"/>
        <item x="55"/>
        <item x="61"/>
        <item x="66"/>
        <item x="63"/>
        <item x="31"/>
        <item x="64"/>
        <item x="68"/>
        <item t="default" sd="0"/>
      </items>
    </pivotField>
    <pivotField name="Kosten_EUR" axis="axisPage" dataField="1" compact="0" outline="0" multipleItemSelectionAllowed="1" showAll="0">
      <items count="395">
        <item x="236"/>
        <item x="87"/>
        <item x="269"/>
        <item x="65"/>
        <item x="255"/>
        <item x="112"/>
        <item x="189"/>
        <item x="375"/>
        <item x="106"/>
        <item x="336"/>
        <item x="98"/>
        <item x="320"/>
        <item x="286"/>
        <item x="365"/>
        <item x="103"/>
        <item x="29"/>
        <item x="37"/>
        <item x="41"/>
        <item x="91"/>
        <item x="228"/>
        <item x="125"/>
        <item x="96"/>
        <item x="22"/>
        <item x="63"/>
        <item x="345"/>
        <item x="316"/>
        <item x="52"/>
        <item x="279"/>
        <item x="253"/>
        <item x="197"/>
        <item x="246"/>
        <item x="218"/>
        <item x="389"/>
        <item x="57"/>
        <item x="234"/>
        <item x="313"/>
        <item x="155"/>
        <item x="309"/>
        <item x="183"/>
        <item x="146"/>
        <item x="100"/>
        <item x="54"/>
        <item x="119"/>
        <item x="349"/>
        <item x="50"/>
        <item x="237"/>
        <item x="156"/>
        <item x="387"/>
        <item x="369"/>
        <item x="190"/>
        <item x="120"/>
        <item x="33"/>
        <item x="292"/>
        <item x="290"/>
        <item x="124"/>
        <item x="32"/>
        <item x="75"/>
        <item x="327"/>
        <item x="274"/>
        <item x="149"/>
        <item x="154"/>
        <item x="117"/>
        <item x="216"/>
        <item x="301"/>
        <item x="355"/>
        <item x="293"/>
        <item x="181"/>
        <item x="53"/>
        <item x="104"/>
        <item x="270"/>
        <item x="366"/>
        <item x="229"/>
        <item x="231"/>
        <item x="74"/>
        <item x="214"/>
        <item x="163"/>
        <item x="247"/>
        <item x="191"/>
        <item x="248"/>
        <item x="138"/>
        <item x="114"/>
        <item x="134"/>
        <item x="315"/>
        <item x="15"/>
        <item x="381"/>
        <item x="179"/>
        <item x="321"/>
        <item x="69"/>
        <item x="379"/>
        <item x="297"/>
        <item x="244"/>
        <item x="298"/>
        <item x="25"/>
        <item x="243"/>
        <item x="186"/>
        <item x="153"/>
        <item x="14"/>
        <item x="169"/>
        <item x="213"/>
        <item x="324"/>
        <item x="95"/>
        <item x="70"/>
        <item x="254"/>
        <item x="5"/>
        <item x="184"/>
        <item x="198"/>
        <item x="380"/>
        <item x="171"/>
        <item x="30"/>
        <item x="84"/>
        <item x="353"/>
        <item x="71"/>
        <item x="333"/>
        <item x="48"/>
        <item x="207"/>
        <item x="329"/>
        <item x="312"/>
        <item x="24"/>
        <item x="11"/>
        <item x="223"/>
        <item x="59"/>
        <item x="13"/>
        <item x="165"/>
        <item x="340"/>
        <item x="101"/>
        <item x="158"/>
        <item x="358"/>
        <item x="121"/>
        <item x="311"/>
        <item x="58"/>
        <item x="105"/>
        <item x="384"/>
        <item x="257"/>
        <item x="7"/>
        <item x="92"/>
        <item x="232"/>
        <item x="34"/>
        <item x="352"/>
        <item x="136"/>
        <item x="132"/>
        <item x="140"/>
        <item x="72"/>
        <item x="145"/>
        <item x="61"/>
        <item x="252"/>
        <item x="289"/>
        <item x="348"/>
        <item x="168"/>
        <item x="245"/>
        <item x="364"/>
        <item x="374"/>
        <item x="170"/>
        <item x="31"/>
        <item x="302"/>
        <item x="205"/>
        <item x="175"/>
        <item x="330"/>
        <item x="294"/>
        <item x="222"/>
        <item x="6"/>
        <item x="208"/>
        <item x="81"/>
        <item x="1"/>
        <item x="94"/>
        <item x="93"/>
        <item x="109"/>
        <item x="193"/>
        <item x="258"/>
        <item x="295"/>
        <item x="102"/>
        <item x="383"/>
        <item x="4"/>
        <item x="230"/>
        <item x="133"/>
        <item x="249"/>
        <item x="66"/>
        <item x="251"/>
        <item x="26"/>
        <item x="284"/>
        <item x="299"/>
        <item x="182"/>
        <item x="176"/>
        <item x="159"/>
        <item x="334"/>
        <item x="280"/>
        <item x="44"/>
        <item x="363"/>
        <item x="62"/>
        <item x="305"/>
        <item x="341"/>
        <item x="282"/>
        <item x="227"/>
        <item x="116"/>
        <item x="166"/>
        <item x="300"/>
        <item x="296"/>
        <item x="308"/>
        <item x="79"/>
        <item x="217"/>
        <item x="386"/>
        <item x="68"/>
        <item x="137"/>
        <item x="267"/>
        <item x="268"/>
        <item x="304"/>
        <item x="276"/>
        <item x="382"/>
        <item x="18"/>
        <item x="19"/>
        <item x="212"/>
        <item x="0"/>
        <item x="239"/>
        <item x="196"/>
        <item x="278"/>
        <item x="126"/>
        <item x="67"/>
        <item x="167"/>
        <item x="113"/>
        <item x="40"/>
        <item x="107"/>
        <item x="210"/>
        <item x="314"/>
        <item x="233"/>
        <item x="192"/>
        <item x="260"/>
        <item x="368"/>
        <item x="303"/>
        <item x="147"/>
        <item x="80"/>
        <item x="178"/>
        <item x="27"/>
        <item x="373"/>
        <item x="8"/>
        <item x="148"/>
        <item x="266"/>
        <item x="307"/>
        <item x="219"/>
        <item x="173"/>
        <item x="162"/>
        <item x="256"/>
        <item x="322"/>
        <item x="344"/>
        <item x="272"/>
        <item x="164"/>
        <item x="64"/>
        <item x="351"/>
        <item x="78"/>
        <item x="38"/>
        <item x="211"/>
        <item x="111"/>
        <item x="88"/>
        <item x="242"/>
        <item x="354"/>
        <item x="241"/>
        <item x="185"/>
        <item x="3"/>
        <item x="332"/>
        <item x="43"/>
        <item x="199"/>
        <item x="264"/>
        <item x="331"/>
        <item x="35"/>
        <item x="77"/>
        <item x="288"/>
        <item x="151"/>
        <item x="317"/>
        <item x="174"/>
        <item x="28"/>
        <item x="157"/>
        <item x="215"/>
        <item x="160"/>
        <item x="123"/>
        <item x="73"/>
        <item x="339"/>
        <item x="83"/>
        <item x="127"/>
        <item x="85"/>
        <item x="143"/>
        <item x="51"/>
        <item x="392"/>
        <item x="310"/>
        <item x="23"/>
        <item x="16"/>
        <item x="187"/>
        <item x="161"/>
        <item x="306"/>
        <item x="335"/>
        <item x="99"/>
        <item x="323"/>
        <item x="128"/>
        <item x="346"/>
        <item x="350"/>
        <item x="36"/>
        <item x="261"/>
        <item x="2"/>
        <item x="265"/>
        <item x="250"/>
        <item x="338"/>
        <item x="152"/>
        <item x="200"/>
        <item x="337"/>
        <item x="130"/>
        <item x="259"/>
        <item x="271"/>
        <item x="221"/>
        <item x="135"/>
        <item x="89"/>
        <item x="21"/>
        <item x="209"/>
        <item x="110"/>
        <item x="238"/>
        <item x="172"/>
        <item x="370"/>
        <item x="263"/>
        <item x="90"/>
        <item x="45"/>
        <item x="235"/>
        <item x="388"/>
        <item x="141"/>
        <item x="275"/>
        <item x="220"/>
        <item x="82"/>
        <item x="76"/>
        <item x="177"/>
        <item x="42"/>
        <item x="131"/>
        <item x="180"/>
        <item x="283"/>
        <item x="20"/>
        <item x="226"/>
        <item x="203"/>
        <item x="97"/>
        <item x="206"/>
        <item x="391"/>
        <item x="17"/>
        <item x="108"/>
        <item x="376"/>
        <item x="367"/>
        <item x="55"/>
        <item x="10"/>
        <item x="142"/>
        <item x="360"/>
        <item x="377"/>
        <item x="357"/>
        <item x="273"/>
        <item x="46"/>
        <item x="39"/>
        <item x="343"/>
        <item x="287"/>
        <item x="225"/>
        <item x="150"/>
        <item x="47"/>
        <item x="144"/>
        <item x="118"/>
        <item x="129"/>
        <item x="372"/>
        <item x="318"/>
        <item x="12"/>
        <item x="49"/>
        <item x="326"/>
        <item x="115"/>
        <item x="371"/>
        <item x="359"/>
        <item x="328"/>
        <item x="240"/>
        <item x="204"/>
        <item x="385"/>
        <item x="390"/>
        <item x="9"/>
        <item x="195"/>
        <item x="281"/>
        <item x="139"/>
        <item x="56"/>
        <item x="378"/>
        <item x="277"/>
        <item x="362"/>
        <item x="361"/>
        <item x="86"/>
        <item x="325"/>
        <item x="262"/>
        <item x="194"/>
        <item x="347"/>
        <item x="224"/>
        <item x="285"/>
        <item x="122"/>
        <item x="188"/>
        <item x="202"/>
        <item x="356"/>
        <item x="201"/>
        <item x="291"/>
        <item x="319"/>
        <item x="60"/>
        <item x="342"/>
        <item h="1" x="393"/>
        <item t="default" sd="0"/>
      </items>
    </pivotField>
    <pivotField name="SLA_Status" compact="0" outline="0" showAll="0">
      <items count="4">
        <item x="0"/>
        <item x="1"/>
        <item x="2"/>
        <item t="default" sd="0"/>
      </items>
    </pivotField>
    <pivotField name="KOSTEN PRO MINUTE" compact="0" outline="0" showAll="0">
      <items count="394">
        <item x="217"/>
        <item x="269"/>
        <item x="91"/>
        <item x="95"/>
        <item x="388"/>
        <item x="379"/>
        <item x="318"/>
        <item x="216"/>
        <item x="343"/>
        <item x="348"/>
        <item x="253"/>
        <item x="229"/>
        <item x="24"/>
        <item x="114"/>
        <item x="37"/>
        <item x="212"/>
        <item x="278"/>
        <item x="132"/>
        <item x="252"/>
        <item x="154"/>
        <item x="134"/>
        <item x="182"/>
        <item x="14"/>
        <item x="183"/>
        <item x="228"/>
        <item x="87"/>
        <item x="41"/>
        <item x="362"/>
        <item x="48"/>
        <item x="116"/>
        <item x="169"/>
        <item x="298"/>
        <item x="313"/>
        <item x="189"/>
        <item x="167"/>
        <item x="234"/>
        <item x="309"/>
        <item x="32"/>
        <item x="75"/>
        <item x="235"/>
        <item x="364"/>
        <item x="84"/>
        <item x="246"/>
        <item x="135"/>
        <item x="100"/>
        <item x="354"/>
        <item x="1"/>
        <item x="101"/>
        <item x="54"/>
        <item x="74"/>
        <item x="237"/>
        <item x="268"/>
        <item x="244"/>
        <item x="211"/>
        <item x="283"/>
        <item x="58"/>
        <item x="248"/>
        <item x="11"/>
        <item x="215"/>
        <item x="256"/>
        <item x="7"/>
        <item x="251"/>
        <item x="352"/>
        <item x="164"/>
        <item x="380"/>
        <item x="79"/>
        <item x="150"/>
        <item x="65"/>
        <item x="371"/>
        <item x="206"/>
        <item x="22"/>
        <item x="287"/>
        <item x="296"/>
        <item x="373"/>
        <item x="63"/>
        <item x="207"/>
        <item x="289"/>
        <item x="290"/>
        <item x="311"/>
        <item x="180"/>
        <item x="30"/>
        <item x="53"/>
        <item x="391"/>
        <item x="314"/>
        <item x="152"/>
        <item x="153"/>
        <item x="372"/>
        <item x="381"/>
        <item x="338"/>
        <item x="31"/>
        <item x="103"/>
        <item x="367"/>
        <item x="71"/>
        <item x="254"/>
        <item x="331"/>
        <item x="266"/>
        <item x="147"/>
        <item x="319"/>
        <item x="157"/>
        <item x="227"/>
        <item x="181"/>
        <item x="145"/>
        <item x="123"/>
        <item x="294"/>
        <item x="310"/>
        <item x="332"/>
        <item x="106"/>
        <item x="247"/>
        <item x="25"/>
        <item x="264"/>
        <item x="136"/>
        <item x="192"/>
        <item x="33"/>
        <item x="3"/>
        <item x="13"/>
        <item x="295"/>
        <item x="250"/>
        <item x="70"/>
        <item x="334"/>
        <item x="191"/>
        <item x="386"/>
        <item x="197"/>
        <item x="15"/>
        <item x="232"/>
        <item x="165"/>
        <item x="148"/>
        <item x="168"/>
        <item x="351"/>
        <item x="342"/>
        <item x="72"/>
        <item x="190"/>
        <item x="124"/>
        <item x="61"/>
        <item x="161"/>
        <item x="121"/>
        <item x="245"/>
        <item x="307"/>
        <item x="226"/>
        <item x="221"/>
        <item x="303"/>
        <item x="327"/>
        <item x="141"/>
        <item x="302"/>
        <item x="27"/>
        <item x="208"/>
        <item x="170"/>
        <item x="195"/>
        <item x="175"/>
        <item x="55"/>
        <item x="243"/>
        <item x="230"/>
        <item x="59"/>
        <item x="336"/>
        <item x="18"/>
        <item x="204"/>
        <item x="66"/>
        <item x="133"/>
        <item x="347"/>
        <item x="321"/>
        <item x="125"/>
        <item x="361"/>
        <item x="341"/>
        <item x="38"/>
        <item x="109"/>
        <item x="210"/>
        <item x="113"/>
        <item x="23"/>
        <item x="80"/>
        <item x="82"/>
        <item x="249"/>
        <item x="185"/>
        <item x="138"/>
        <item x="64"/>
        <item x="356"/>
        <item x="198"/>
        <item x="353"/>
        <item x="376"/>
        <item x="325"/>
        <item x="12"/>
        <item x="383"/>
        <item x="126"/>
        <item x="29"/>
        <item x="142"/>
        <item x="326"/>
        <item x="196"/>
        <item x="258"/>
        <item x="78"/>
        <item x="366"/>
        <item x="40"/>
        <item x="263"/>
        <item x="239"/>
        <item x="2"/>
        <item x="324"/>
        <item x="184"/>
        <item x="155"/>
        <item x="51"/>
        <item x="5"/>
        <item x="265"/>
        <item x="90"/>
        <item x="119"/>
        <item x="144"/>
        <item x="131"/>
        <item x="299"/>
        <item x="0"/>
        <item x="99"/>
        <item x="67"/>
        <item x="301"/>
        <item x="241"/>
        <item x="236"/>
        <item x="166"/>
        <item x="57"/>
        <item x="112"/>
        <item x="272"/>
        <item x="300"/>
        <item x="94"/>
        <item x="179"/>
        <item x="77"/>
        <item x="240"/>
        <item x="173"/>
        <item x="34"/>
        <item x="333"/>
        <item x="115"/>
        <item x="16"/>
        <item x="271"/>
        <item x="76"/>
        <item x="19"/>
        <item x="158"/>
        <item x="73"/>
        <item x="308"/>
        <item x="329"/>
        <item x="118"/>
        <item x="291"/>
        <item x="350"/>
        <item x="358"/>
        <item x="50"/>
        <item x="44"/>
        <item x="375"/>
        <item x="21"/>
        <item x="81"/>
        <item x="389"/>
        <item x="107"/>
        <item x="46"/>
        <item x="176"/>
        <item x="160"/>
        <item x="188"/>
        <item x="363"/>
        <item x="137"/>
        <item x="96"/>
        <item x="224"/>
        <item x="257"/>
        <item x="108"/>
        <item x="277"/>
        <item x="274"/>
        <item x="297"/>
        <item x="346"/>
        <item x="293"/>
        <item x="35"/>
        <item x="370"/>
        <item x="286"/>
        <item x="369"/>
        <item x="8"/>
        <item x="213"/>
        <item x="62"/>
        <item x="128"/>
        <item x="359"/>
        <item x="45"/>
        <item x="267"/>
        <item x="6"/>
        <item x="52"/>
        <item x="139"/>
        <item x="209"/>
        <item x="255"/>
        <item x="225"/>
        <item x="312"/>
        <item x="275"/>
        <item x="85"/>
        <item x="104"/>
        <item x="151"/>
        <item x="231"/>
        <item x="105"/>
        <item x="86"/>
        <item x="273"/>
        <item x="111"/>
        <item x="259"/>
        <item x="199"/>
        <item x="140"/>
        <item x="242"/>
        <item x="146"/>
        <item x="202"/>
        <item x="292"/>
        <item x="315"/>
        <item x="284"/>
        <item x="276"/>
        <item x="382"/>
        <item x="172"/>
        <item x="4"/>
        <item x="186"/>
        <item x="306"/>
        <item x="337"/>
        <item x="156"/>
        <item x="280"/>
        <item x="117"/>
        <item x="193"/>
        <item x="39"/>
        <item x="323"/>
        <item x="222"/>
        <item x="328"/>
        <item x="279"/>
        <item x="304"/>
        <item x="260"/>
        <item x="143"/>
        <item x="335"/>
        <item x="130"/>
        <item x="316"/>
        <item x="270"/>
        <item x="171"/>
        <item x="322"/>
        <item x="178"/>
        <item x="357"/>
        <item x="89"/>
        <item x="28"/>
        <item x="214"/>
        <item x="88"/>
        <item x="56"/>
        <item x="177"/>
        <item x="49"/>
        <item x="262"/>
        <item x="355"/>
        <item x="377"/>
        <item x="43"/>
        <item x="102"/>
        <item x="360"/>
        <item x="174"/>
        <item x="282"/>
        <item x="285"/>
        <item x="205"/>
        <item x="162"/>
        <item x="122"/>
        <item x="385"/>
        <item x="194"/>
        <item x="68"/>
        <item x="47"/>
        <item x="9"/>
        <item x="10"/>
        <item x="110"/>
        <item x="305"/>
        <item x="42"/>
        <item x="149"/>
        <item x="261"/>
        <item x="378"/>
        <item x="83"/>
        <item x="339"/>
        <item x="238"/>
        <item x="281"/>
        <item x="233"/>
        <item x="387"/>
        <item x="98"/>
        <item x="93"/>
        <item x="26"/>
        <item x="97"/>
        <item x="163"/>
        <item x="127"/>
        <item x="20"/>
        <item x="330"/>
        <item x="218"/>
        <item x="69"/>
        <item x="92"/>
        <item x="220"/>
        <item x="390"/>
        <item x="36"/>
        <item x="320"/>
        <item x="219"/>
        <item x="203"/>
        <item x="120"/>
        <item x="159"/>
        <item x="374"/>
        <item x="187"/>
        <item x="349"/>
        <item x="345"/>
        <item x="384"/>
        <item x="129"/>
        <item x="317"/>
        <item x="60"/>
        <item x="200"/>
        <item x="344"/>
        <item x="223"/>
        <item x="368"/>
        <item x="365"/>
        <item x="17"/>
        <item x="288"/>
        <item x="201"/>
        <item x="340"/>
        <item x="392"/>
        <item t="default" sd="0"/>
      </items>
    </pivotField>
    <pivotField name="Bearbeitungsdauer pro Interval1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nterval2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st Spalte F leer?" compact="0" outline="0" showAll="0">
      <items count="3">
        <item x="0"/>
        <item x="1"/>
        <item t="default" sd="0"/>
      </items>
    </pivotField>
  </pivotFields>
  <rowFields count="1">
    <field x="1"/>
  </rowFields>
  <rowItems count="13"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>
      <x/>
    </i>
    <i t="grand">
      <x/>
    </i>
  </rowItems>
  <colItems count="1">
    <i/>
  </colItems>
  <pageFields count="1">
    <pageField fld="6" hier="-1"/>
  </pageFields>
  <dataFields count="1">
    <dataField name="Summe von Kosten_EUR" fld="6" showDataAs="runTotal" baseField="1" baseItem="0" numFmtId="1"/>
  </dataFields>
  <pivotTableStyleInfo name="PivotStyleCustom06" showRowHeaders="1" showColHeaders="1" showRowStripes="1" showColStripes="0" showLastColumn="1"/>
</pivotTableDefinition>
</file>

<file path=xl/pivotTables/pivotTable7.xml><?xml version="1.0" encoding="utf-8"?>
<pivotTableDefinition xmlns="http://schemas.openxmlformats.org/spreadsheetml/2006/main" name="Tabelle 1 Pivot" cacheId="6" dataPosition="0" autoFormatId="0" applyNumberFormats="0" applyBorderFormats="0" applyFontFormats="0" applyPatternFormats="0" applyAlignmentFormats="0" applyWidthHeightFormats="1" dataCaption="" missingCaption="" pivotTableStyle="PivotStyleCustom07" updatedVersion="7" useAutoFormatting="1" createdVersion="7" indent="0" showEmptyCol="1" showEmptyRow="1" compact="0" compactData="0" multipleFieldFilters="0">
  <location ref="A5:B8" firstHeaderRow="1" firstDataRow="1" firstDataCol="1" rowPageCount="2" colPageCount="1"/>
  <pivotFields count="12">
    <pivotField name="VorgangsID" compact="0" outline="0" showAll="0">
      <items count="405">
        <item x="403"/>
        <item x="400"/>
        <item x="401"/>
        <item x="399"/>
        <item x="350"/>
        <item x="287"/>
        <item x="104"/>
        <item x="317"/>
        <item x="181"/>
        <item x="183"/>
        <item x="65"/>
        <item x="192"/>
        <item x="147"/>
        <item x="90"/>
        <item x="378"/>
        <item x="351"/>
        <item x="28"/>
        <item x="301"/>
        <item x="217"/>
        <item x="130"/>
        <item x="106"/>
        <item x="84"/>
        <item x="206"/>
        <item x="376"/>
        <item x="152"/>
        <item x="260"/>
        <item x="352"/>
        <item x="272"/>
        <item x="193"/>
        <item x="42"/>
        <item x="69"/>
        <item x="280"/>
        <item x="370"/>
        <item x="7"/>
        <item x="35"/>
        <item x="266"/>
        <item x="73"/>
        <item x="52"/>
        <item x="26"/>
        <item x="128"/>
        <item x="96"/>
        <item x="20"/>
        <item x="118"/>
        <item x="203"/>
        <item x="385"/>
        <item x="283"/>
        <item x="247"/>
        <item x="321"/>
        <item x="302"/>
        <item x="270"/>
        <item x="168"/>
        <item x="36"/>
        <item x="261"/>
        <item x="284"/>
        <item x="155"/>
        <item x="86"/>
        <item x="98"/>
        <item x="48"/>
        <item x="71"/>
        <item x="4"/>
        <item x="197"/>
        <item x="14"/>
        <item x="56"/>
        <item x="119"/>
        <item x="178"/>
        <item x="391"/>
        <item x="109"/>
        <item x="141"/>
        <item x="277"/>
        <item x="131"/>
        <item x="169"/>
        <item x="278"/>
        <item x="368"/>
        <item x="164"/>
        <item x="293"/>
        <item x="332"/>
        <item x="160"/>
        <item x="372"/>
        <item x="43"/>
        <item x="116"/>
        <item x="16"/>
        <item x="343"/>
        <item x="83"/>
        <item x="386"/>
        <item x="63"/>
        <item x="234"/>
        <item x="88"/>
        <item x="269"/>
        <item x="144"/>
        <item x="211"/>
        <item x="177"/>
        <item x="314"/>
        <item x="1"/>
        <item x="288"/>
        <item x="216"/>
        <item x="339"/>
        <item x="9"/>
        <item x="174"/>
        <item x="204"/>
        <item x="22"/>
        <item x="363"/>
        <item x="66"/>
        <item x="243"/>
        <item x="91"/>
        <item x="167"/>
        <item x="340"/>
        <item x="323"/>
        <item x="358"/>
        <item x="194"/>
        <item x="364"/>
        <item x="320"/>
        <item x="303"/>
        <item x="173"/>
        <item x="392"/>
        <item x="44"/>
        <item x="398"/>
        <item x="224"/>
        <item x="230"/>
        <item x="162"/>
        <item x="381"/>
        <item x="318"/>
        <item x="158"/>
        <item x="27"/>
        <item x="305"/>
        <item x="23"/>
        <item x="344"/>
        <item x="161"/>
        <item x="334"/>
        <item x="319"/>
        <item x="100"/>
        <item x="122"/>
        <item x="151"/>
        <item x="114"/>
        <item x="134"/>
        <item x="163"/>
        <item x="137"/>
        <item x="15"/>
        <item x="308"/>
        <item x="310"/>
        <item x="315"/>
        <item x="227"/>
        <item x="146"/>
        <item x="46"/>
        <item x="0"/>
        <item x="268"/>
        <item x="74"/>
        <item x="11"/>
        <item x="49"/>
        <item x="359"/>
        <item x="251"/>
        <item x="212"/>
        <item x="262"/>
        <item x="316"/>
        <item x="285"/>
        <item x="123"/>
        <item x="207"/>
        <item x="256"/>
        <item x="80"/>
        <item x="132"/>
        <item x="276"/>
        <item x="253"/>
        <item x="110"/>
        <item x="394"/>
        <item x="29"/>
        <item x="273"/>
        <item x="338"/>
        <item x="240"/>
        <item x="235"/>
        <item x="382"/>
        <item x="208"/>
        <item x="366"/>
        <item x="327"/>
        <item x="188"/>
        <item x="377"/>
        <item x="165"/>
        <item x="175"/>
        <item x="281"/>
        <item x="250"/>
        <item x="61"/>
        <item x="373"/>
        <item x="5"/>
        <item x="209"/>
        <item x="296"/>
        <item x="389"/>
        <item x="12"/>
        <item x="387"/>
        <item x="87"/>
        <item x="383"/>
        <item x="195"/>
        <item x="140"/>
        <item x="101"/>
        <item x="298"/>
        <item x="115"/>
        <item x="72"/>
        <item x="10"/>
        <item x="67"/>
        <item x="237"/>
        <item x="367"/>
        <item x="33"/>
        <item x="37"/>
        <item x="68"/>
        <item x="274"/>
        <item x="393"/>
        <item x="51"/>
        <item x="85"/>
        <item x="199"/>
        <item x="297"/>
        <item x="24"/>
        <item x="263"/>
        <item x="196"/>
        <item x="231"/>
        <item x="94"/>
        <item x="95"/>
        <item x="275"/>
        <item x="198"/>
        <item x="335"/>
        <item x="102"/>
        <item x="254"/>
        <item x="322"/>
        <item x="148"/>
        <item x="93"/>
        <item x="219"/>
        <item x="41"/>
        <item x="225"/>
        <item x="336"/>
        <item x="223"/>
        <item x="107"/>
        <item x="186"/>
        <item x="82"/>
        <item x="341"/>
        <item x="299"/>
        <item x="346"/>
        <item x="264"/>
        <item x="357"/>
        <item x="213"/>
        <item x="324"/>
        <item x="182"/>
        <item x="233"/>
        <item x="215"/>
        <item x="34"/>
        <item x="129"/>
        <item x="166"/>
        <item x="45"/>
        <item x="379"/>
        <item x="265"/>
        <item x="252"/>
        <item x="54"/>
        <item x="202"/>
        <item x="92"/>
        <item x="329"/>
        <item x="124"/>
        <item x="241"/>
        <item x="325"/>
        <item x="57"/>
        <item x="89"/>
        <item x="238"/>
        <item x="200"/>
        <item x="361"/>
        <item x="245"/>
        <item x="103"/>
        <item x="120"/>
        <item x="58"/>
        <item x="347"/>
        <item x="126"/>
        <item x="271"/>
        <item x="8"/>
        <item x="201"/>
        <item x="342"/>
        <item x="289"/>
        <item x="248"/>
        <item x="97"/>
        <item x="286"/>
        <item x="191"/>
        <item x="222"/>
        <item x="258"/>
        <item x="232"/>
        <item x="176"/>
        <item x="187"/>
        <item x="138"/>
        <item x="374"/>
        <item x="375"/>
        <item x="214"/>
        <item x="239"/>
        <item x="142"/>
        <item x="259"/>
        <item x="330"/>
        <item x="38"/>
        <item x="369"/>
        <item x="156"/>
        <item x="77"/>
        <item x="306"/>
        <item x="249"/>
        <item x="172"/>
        <item x="292"/>
        <item x="30"/>
        <item x="185"/>
        <item x="348"/>
        <item x="354"/>
        <item x="326"/>
        <item x="355"/>
        <item x="304"/>
        <item x="159"/>
        <item x="380"/>
        <item x="170"/>
        <item x="184"/>
        <item x="64"/>
        <item x="149"/>
        <item x="311"/>
        <item x="267"/>
        <item x="127"/>
        <item x="257"/>
        <item x="133"/>
        <item x="25"/>
        <item x="290"/>
        <item x="70"/>
        <item x="81"/>
        <item x="17"/>
        <item x="78"/>
        <item x="333"/>
        <item x="397"/>
        <item x="371"/>
        <item x="345"/>
        <item x="312"/>
        <item x="205"/>
        <item x="390"/>
        <item x="228"/>
        <item x="396"/>
        <item x="171"/>
        <item x="190"/>
        <item x="153"/>
        <item x="384"/>
        <item x="139"/>
        <item x="218"/>
        <item x="236"/>
        <item x="136"/>
        <item x="21"/>
        <item x="55"/>
        <item x="291"/>
        <item x="246"/>
        <item x="47"/>
        <item x="13"/>
        <item x="220"/>
        <item x="150"/>
        <item x="143"/>
        <item x="59"/>
        <item x="180"/>
        <item x="353"/>
        <item x="79"/>
        <item x="117"/>
        <item x="365"/>
        <item x="226"/>
        <item x="331"/>
        <item x="328"/>
        <item x="105"/>
        <item x="395"/>
        <item x="307"/>
        <item x="99"/>
        <item x="75"/>
        <item x="242"/>
        <item x="39"/>
        <item x="31"/>
        <item x="356"/>
        <item x="210"/>
        <item x="76"/>
        <item x="279"/>
        <item x="154"/>
        <item x="111"/>
        <item x="60"/>
        <item x="6"/>
        <item x="19"/>
        <item x="282"/>
        <item x="309"/>
        <item x="121"/>
        <item x="295"/>
        <item x="294"/>
        <item x="157"/>
        <item x="108"/>
        <item x="229"/>
        <item x="360"/>
        <item x="135"/>
        <item x="40"/>
        <item x="179"/>
        <item x="62"/>
        <item x="125"/>
        <item x="362"/>
        <item x="244"/>
        <item x="18"/>
        <item x="313"/>
        <item x="112"/>
        <item x="255"/>
        <item x="189"/>
        <item x="32"/>
        <item x="2"/>
        <item x="337"/>
        <item x="3"/>
        <item x="145"/>
        <item x="53"/>
        <item x="221"/>
        <item x="388"/>
        <item x="50"/>
        <item x="349"/>
        <item x="300"/>
        <item x="113"/>
        <item x="402"/>
        <item t="default" sd="0"/>
      </items>
    </pivotField>
    <pivotField name="Datum" axis="axisPage" compact="0" outline="0" multipleItemSelectionAllowed="1" showAll="0">
      <items count="231">
        <item h="1" x="229"/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h="1"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h="1"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h="1"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h="1"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h="1"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h="1"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h="1"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t="default" sd="0"/>
      </items>
    </pivotField>
    <pivotField name="Abteilung" axis="axisRow" compact="0" numFmtId="49" outline="0" showAll="0" sortType="ascending">
      <items count="7">
        <item h="1" x="0"/>
        <item h="1" x="4"/>
        <item h="1" x="1"/>
        <item x="3"/>
        <item x="2"/>
        <item h="1" x="5"/>
        <item t="default" sd="0"/>
      </items>
    </pivotField>
    <pivotField name="Bearbeiter" compact="0" outline="0" showAll="0">
      <items count="13">
        <item x="6"/>
        <item x="10"/>
        <item x="9"/>
        <item x="2"/>
        <item x="0"/>
        <item x="7"/>
        <item x="4"/>
        <item x="3"/>
        <item x="1"/>
        <item x="8"/>
        <item x="5"/>
        <item x="11"/>
        <item t="default" sd="0"/>
      </items>
    </pivotField>
    <pivotField name="Vorgangstyp" compact="0" outline="0" showAll="0">
      <items count="14">
        <item x="2"/>
        <item x="5"/>
        <item x="7"/>
        <item x="8"/>
        <item x="9"/>
        <item x="0"/>
        <item x="4"/>
        <item x="6"/>
        <item x="11"/>
        <item x="3"/>
        <item x="10"/>
        <item x="1"/>
        <item x="12"/>
        <item t="default" sd="0"/>
      </items>
    </pivotField>
    <pivotField name="Bearbeitungsdauer_Min" compact="0" outline="0" showAll="0">
      <items count="70">
        <item x="39"/>
        <item x="33"/>
        <item x="21"/>
        <item x="41"/>
        <item x="28"/>
        <item x="47"/>
        <item x="23"/>
        <item x="16"/>
        <item x="45"/>
        <item x="35"/>
        <item x="53"/>
        <item x="22"/>
        <item x="38"/>
        <item x="44"/>
        <item x="5"/>
        <item x="12"/>
        <item x="18"/>
        <item x="4"/>
        <item x="34"/>
        <item x="10"/>
        <item x="11"/>
        <item x="8"/>
        <item x="6"/>
        <item x="0"/>
        <item x="17"/>
        <item x="15"/>
        <item x="20"/>
        <item x="1"/>
        <item x="19"/>
        <item x="32"/>
        <item x="14"/>
        <item x="49"/>
        <item x="42"/>
        <item x="13"/>
        <item x="25"/>
        <item x="40"/>
        <item x="3"/>
        <item x="2"/>
        <item x="56"/>
        <item x="52"/>
        <item x="36"/>
        <item x="24"/>
        <item x="48"/>
        <item x="51"/>
        <item x="26"/>
        <item x="27"/>
        <item x="58"/>
        <item x="67"/>
        <item x="7"/>
        <item x="29"/>
        <item x="65"/>
        <item x="60"/>
        <item x="30"/>
        <item x="9"/>
        <item x="57"/>
        <item x="59"/>
        <item x="50"/>
        <item x="43"/>
        <item x="37"/>
        <item x="46"/>
        <item x="54"/>
        <item x="62"/>
        <item x="55"/>
        <item x="61"/>
        <item x="66"/>
        <item x="63"/>
        <item x="31"/>
        <item x="64"/>
        <item x="68"/>
        <item t="default" sd="0"/>
      </items>
    </pivotField>
    <pivotField name="Kosten_EUR" axis="axisPage" dataField="1" compact="0" outline="0" multipleItemSelectionAllowed="1" showAll="0">
      <items count="395">
        <item x="236"/>
        <item x="87"/>
        <item x="269"/>
        <item x="65"/>
        <item x="255"/>
        <item x="112"/>
        <item x="189"/>
        <item x="375"/>
        <item x="106"/>
        <item x="336"/>
        <item x="98"/>
        <item x="320"/>
        <item x="286"/>
        <item x="365"/>
        <item x="103"/>
        <item x="29"/>
        <item x="37"/>
        <item x="41"/>
        <item x="91"/>
        <item x="228"/>
        <item x="125"/>
        <item x="96"/>
        <item x="22"/>
        <item x="63"/>
        <item x="345"/>
        <item x="316"/>
        <item x="52"/>
        <item x="279"/>
        <item x="253"/>
        <item x="197"/>
        <item x="246"/>
        <item x="218"/>
        <item x="389"/>
        <item x="57"/>
        <item x="234"/>
        <item x="313"/>
        <item x="155"/>
        <item x="309"/>
        <item x="183"/>
        <item x="146"/>
        <item x="100"/>
        <item x="54"/>
        <item x="119"/>
        <item x="349"/>
        <item x="50"/>
        <item x="237"/>
        <item x="156"/>
        <item x="387"/>
        <item x="369"/>
        <item x="190"/>
        <item x="120"/>
        <item x="33"/>
        <item x="292"/>
        <item x="290"/>
        <item x="124"/>
        <item x="32"/>
        <item x="75"/>
        <item x="327"/>
        <item x="274"/>
        <item x="149"/>
        <item x="154"/>
        <item x="117"/>
        <item x="216"/>
        <item x="301"/>
        <item x="355"/>
        <item x="293"/>
        <item x="181"/>
        <item x="53"/>
        <item x="104"/>
        <item x="270"/>
        <item x="366"/>
        <item x="229"/>
        <item x="231"/>
        <item x="74"/>
        <item x="214"/>
        <item x="163"/>
        <item x="247"/>
        <item x="191"/>
        <item x="248"/>
        <item x="138"/>
        <item x="114"/>
        <item x="134"/>
        <item x="315"/>
        <item x="15"/>
        <item x="381"/>
        <item x="179"/>
        <item x="321"/>
        <item x="69"/>
        <item x="379"/>
        <item x="297"/>
        <item x="244"/>
        <item x="298"/>
        <item x="25"/>
        <item x="243"/>
        <item x="186"/>
        <item x="153"/>
        <item x="14"/>
        <item x="169"/>
        <item x="213"/>
        <item x="324"/>
        <item x="95"/>
        <item x="70"/>
        <item x="254"/>
        <item x="5"/>
        <item x="184"/>
        <item x="198"/>
        <item x="380"/>
        <item x="171"/>
        <item x="30"/>
        <item x="84"/>
        <item x="353"/>
        <item x="71"/>
        <item x="333"/>
        <item x="48"/>
        <item x="207"/>
        <item x="329"/>
        <item x="312"/>
        <item x="24"/>
        <item x="11"/>
        <item x="223"/>
        <item x="59"/>
        <item x="13"/>
        <item x="165"/>
        <item x="340"/>
        <item x="101"/>
        <item x="158"/>
        <item x="358"/>
        <item x="121"/>
        <item x="311"/>
        <item x="58"/>
        <item x="105"/>
        <item x="384"/>
        <item x="257"/>
        <item x="7"/>
        <item x="92"/>
        <item x="232"/>
        <item x="34"/>
        <item x="352"/>
        <item x="136"/>
        <item x="132"/>
        <item x="140"/>
        <item x="72"/>
        <item x="145"/>
        <item x="61"/>
        <item x="252"/>
        <item x="289"/>
        <item x="348"/>
        <item x="168"/>
        <item x="245"/>
        <item x="364"/>
        <item x="374"/>
        <item x="170"/>
        <item x="31"/>
        <item x="302"/>
        <item x="205"/>
        <item x="175"/>
        <item x="330"/>
        <item x="294"/>
        <item x="222"/>
        <item x="6"/>
        <item x="208"/>
        <item x="81"/>
        <item x="1"/>
        <item x="94"/>
        <item x="93"/>
        <item x="109"/>
        <item x="193"/>
        <item x="258"/>
        <item x="295"/>
        <item x="102"/>
        <item x="383"/>
        <item x="4"/>
        <item x="230"/>
        <item x="133"/>
        <item x="249"/>
        <item x="66"/>
        <item x="251"/>
        <item x="26"/>
        <item x="284"/>
        <item x="299"/>
        <item x="182"/>
        <item x="176"/>
        <item x="159"/>
        <item x="334"/>
        <item x="280"/>
        <item x="44"/>
        <item x="363"/>
        <item x="62"/>
        <item x="305"/>
        <item x="341"/>
        <item x="282"/>
        <item x="227"/>
        <item x="116"/>
        <item x="166"/>
        <item x="300"/>
        <item x="296"/>
        <item x="308"/>
        <item x="79"/>
        <item x="217"/>
        <item x="386"/>
        <item x="68"/>
        <item x="137"/>
        <item x="267"/>
        <item x="268"/>
        <item x="304"/>
        <item x="276"/>
        <item x="382"/>
        <item x="18"/>
        <item x="19"/>
        <item x="212"/>
        <item x="0"/>
        <item x="239"/>
        <item x="196"/>
        <item x="278"/>
        <item x="126"/>
        <item x="67"/>
        <item x="167"/>
        <item x="113"/>
        <item x="40"/>
        <item x="107"/>
        <item x="210"/>
        <item x="314"/>
        <item x="233"/>
        <item x="192"/>
        <item x="260"/>
        <item x="368"/>
        <item x="303"/>
        <item x="147"/>
        <item x="80"/>
        <item x="178"/>
        <item x="27"/>
        <item x="373"/>
        <item x="8"/>
        <item x="148"/>
        <item x="266"/>
        <item x="307"/>
        <item x="219"/>
        <item x="173"/>
        <item x="162"/>
        <item x="256"/>
        <item x="322"/>
        <item x="344"/>
        <item x="272"/>
        <item x="164"/>
        <item x="64"/>
        <item x="351"/>
        <item x="78"/>
        <item x="38"/>
        <item x="211"/>
        <item x="111"/>
        <item x="88"/>
        <item x="242"/>
        <item x="354"/>
        <item x="241"/>
        <item x="185"/>
        <item x="3"/>
        <item x="332"/>
        <item x="43"/>
        <item x="199"/>
        <item x="264"/>
        <item x="331"/>
        <item x="35"/>
        <item x="77"/>
        <item x="288"/>
        <item x="151"/>
        <item x="317"/>
        <item x="174"/>
        <item x="28"/>
        <item x="157"/>
        <item x="215"/>
        <item x="160"/>
        <item x="123"/>
        <item x="73"/>
        <item x="339"/>
        <item x="83"/>
        <item x="127"/>
        <item x="85"/>
        <item x="143"/>
        <item x="51"/>
        <item x="392"/>
        <item x="310"/>
        <item x="23"/>
        <item x="16"/>
        <item x="187"/>
        <item x="161"/>
        <item x="306"/>
        <item x="335"/>
        <item x="99"/>
        <item x="323"/>
        <item x="128"/>
        <item x="346"/>
        <item x="350"/>
        <item x="36"/>
        <item x="261"/>
        <item x="2"/>
        <item x="265"/>
        <item x="250"/>
        <item x="338"/>
        <item x="152"/>
        <item x="200"/>
        <item x="337"/>
        <item x="130"/>
        <item x="259"/>
        <item x="271"/>
        <item x="221"/>
        <item x="135"/>
        <item x="89"/>
        <item x="21"/>
        <item x="209"/>
        <item x="110"/>
        <item x="238"/>
        <item x="172"/>
        <item x="370"/>
        <item x="263"/>
        <item x="90"/>
        <item x="45"/>
        <item x="235"/>
        <item x="388"/>
        <item x="141"/>
        <item x="275"/>
        <item x="220"/>
        <item x="82"/>
        <item x="76"/>
        <item x="177"/>
        <item x="42"/>
        <item x="131"/>
        <item x="180"/>
        <item x="283"/>
        <item x="20"/>
        <item x="226"/>
        <item x="203"/>
        <item x="97"/>
        <item x="206"/>
        <item x="391"/>
        <item x="17"/>
        <item x="108"/>
        <item x="376"/>
        <item x="367"/>
        <item x="55"/>
        <item x="10"/>
        <item x="142"/>
        <item x="360"/>
        <item x="377"/>
        <item x="357"/>
        <item x="273"/>
        <item x="46"/>
        <item x="39"/>
        <item x="343"/>
        <item x="287"/>
        <item x="225"/>
        <item x="150"/>
        <item x="47"/>
        <item x="144"/>
        <item x="118"/>
        <item x="129"/>
        <item x="372"/>
        <item x="318"/>
        <item x="12"/>
        <item x="49"/>
        <item x="326"/>
        <item x="115"/>
        <item x="371"/>
        <item x="359"/>
        <item x="328"/>
        <item x="240"/>
        <item x="204"/>
        <item x="385"/>
        <item x="390"/>
        <item x="9"/>
        <item x="195"/>
        <item x="281"/>
        <item x="139"/>
        <item x="56"/>
        <item x="378"/>
        <item x="277"/>
        <item x="362"/>
        <item x="361"/>
        <item x="86"/>
        <item x="325"/>
        <item x="262"/>
        <item x="194"/>
        <item x="347"/>
        <item x="224"/>
        <item x="285"/>
        <item x="122"/>
        <item x="188"/>
        <item x="202"/>
        <item x="356"/>
        <item x="201"/>
        <item x="291"/>
        <item x="319"/>
        <item x="60"/>
        <item x="342"/>
        <item h="1" x="393"/>
        <item t="default" sd="0"/>
      </items>
    </pivotField>
    <pivotField name="SLA_Status" compact="0" outline="0" showAll="0">
      <items count="4">
        <item x="0"/>
        <item x="1"/>
        <item x="2"/>
        <item t="default" sd="0"/>
      </items>
    </pivotField>
    <pivotField name="KOSTEN PRO MINUTE" compact="0" outline="0" showAll="0">
      <items count="394">
        <item x="217"/>
        <item x="269"/>
        <item x="91"/>
        <item x="95"/>
        <item x="388"/>
        <item x="379"/>
        <item x="318"/>
        <item x="216"/>
        <item x="343"/>
        <item x="348"/>
        <item x="253"/>
        <item x="229"/>
        <item x="24"/>
        <item x="114"/>
        <item x="37"/>
        <item x="212"/>
        <item x="278"/>
        <item x="132"/>
        <item x="252"/>
        <item x="154"/>
        <item x="134"/>
        <item x="182"/>
        <item x="14"/>
        <item x="183"/>
        <item x="228"/>
        <item x="87"/>
        <item x="41"/>
        <item x="362"/>
        <item x="48"/>
        <item x="116"/>
        <item x="169"/>
        <item x="298"/>
        <item x="313"/>
        <item x="189"/>
        <item x="167"/>
        <item x="234"/>
        <item x="309"/>
        <item x="32"/>
        <item x="75"/>
        <item x="235"/>
        <item x="364"/>
        <item x="84"/>
        <item x="246"/>
        <item x="135"/>
        <item x="100"/>
        <item x="354"/>
        <item x="1"/>
        <item x="101"/>
        <item x="54"/>
        <item x="74"/>
        <item x="237"/>
        <item x="268"/>
        <item x="244"/>
        <item x="211"/>
        <item x="283"/>
        <item x="58"/>
        <item x="248"/>
        <item x="11"/>
        <item x="215"/>
        <item x="256"/>
        <item x="7"/>
        <item x="251"/>
        <item x="352"/>
        <item x="164"/>
        <item x="380"/>
        <item x="79"/>
        <item x="150"/>
        <item x="65"/>
        <item x="371"/>
        <item x="206"/>
        <item x="22"/>
        <item x="287"/>
        <item x="296"/>
        <item x="373"/>
        <item x="63"/>
        <item x="207"/>
        <item x="289"/>
        <item x="290"/>
        <item x="311"/>
        <item x="180"/>
        <item x="30"/>
        <item x="53"/>
        <item x="391"/>
        <item x="314"/>
        <item x="152"/>
        <item x="153"/>
        <item x="372"/>
        <item x="381"/>
        <item x="338"/>
        <item x="31"/>
        <item x="103"/>
        <item x="367"/>
        <item x="71"/>
        <item x="254"/>
        <item x="331"/>
        <item x="266"/>
        <item x="147"/>
        <item x="319"/>
        <item x="157"/>
        <item x="227"/>
        <item x="181"/>
        <item x="145"/>
        <item x="123"/>
        <item x="294"/>
        <item x="310"/>
        <item x="332"/>
        <item x="106"/>
        <item x="247"/>
        <item x="25"/>
        <item x="264"/>
        <item x="136"/>
        <item x="192"/>
        <item x="33"/>
        <item x="3"/>
        <item x="13"/>
        <item x="295"/>
        <item x="250"/>
        <item x="70"/>
        <item x="334"/>
        <item x="191"/>
        <item x="386"/>
        <item x="197"/>
        <item x="15"/>
        <item x="232"/>
        <item x="165"/>
        <item x="148"/>
        <item x="168"/>
        <item x="351"/>
        <item x="342"/>
        <item x="72"/>
        <item x="190"/>
        <item x="124"/>
        <item x="61"/>
        <item x="161"/>
        <item x="121"/>
        <item x="245"/>
        <item x="307"/>
        <item x="226"/>
        <item x="221"/>
        <item x="303"/>
        <item x="327"/>
        <item x="141"/>
        <item x="302"/>
        <item x="27"/>
        <item x="208"/>
        <item x="170"/>
        <item x="195"/>
        <item x="175"/>
        <item x="55"/>
        <item x="243"/>
        <item x="230"/>
        <item x="59"/>
        <item x="336"/>
        <item x="18"/>
        <item x="204"/>
        <item x="66"/>
        <item x="133"/>
        <item x="347"/>
        <item x="321"/>
        <item x="125"/>
        <item x="361"/>
        <item x="341"/>
        <item x="38"/>
        <item x="109"/>
        <item x="210"/>
        <item x="113"/>
        <item x="23"/>
        <item x="80"/>
        <item x="82"/>
        <item x="249"/>
        <item x="185"/>
        <item x="138"/>
        <item x="64"/>
        <item x="356"/>
        <item x="198"/>
        <item x="353"/>
        <item x="376"/>
        <item x="325"/>
        <item x="12"/>
        <item x="383"/>
        <item x="126"/>
        <item x="29"/>
        <item x="142"/>
        <item x="326"/>
        <item x="196"/>
        <item x="258"/>
        <item x="78"/>
        <item x="366"/>
        <item x="40"/>
        <item x="263"/>
        <item x="239"/>
        <item x="2"/>
        <item x="324"/>
        <item x="184"/>
        <item x="155"/>
        <item x="51"/>
        <item x="5"/>
        <item x="265"/>
        <item x="90"/>
        <item x="119"/>
        <item x="144"/>
        <item x="131"/>
        <item x="299"/>
        <item x="0"/>
        <item x="99"/>
        <item x="67"/>
        <item x="301"/>
        <item x="241"/>
        <item x="236"/>
        <item x="166"/>
        <item x="57"/>
        <item x="112"/>
        <item x="272"/>
        <item x="300"/>
        <item x="94"/>
        <item x="179"/>
        <item x="77"/>
        <item x="240"/>
        <item x="173"/>
        <item x="34"/>
        <item x="333"/>
        <item x="115"/>
        <item x="16"/>
        <item x="271"/>
        <item x="76"/>
        <item x="19"/>
        <item x="158"/>
        <item x="73"/>
        <item x="308"/>
        <item x="329"/>
        <item x="118"/>
        <item x="291"/>
        <item x="350"/>
        <item x="358"/>
        <item x="50"/>
        <item x="44"/>
        <item x="375"/>
        <item x="21"/>
        <item x="81"/>
        <item x="389"/>
        <item x="107"/>
        <item x="46"/>
        <item x="176"/>
        <item x="160"/>
        <item x="188"/>
        <item x="363"/>
        <item x="137"/>
        <item x="96"/>
        <item x="224"/>
        <item x="257"/>
        <item x="108"/>
        <item x="277"/>
        <item x="274"/>
        <item x="297"/>
        <item x="346"/>
        <item x="293"/>
        <item x="35"/>
        <item x="370"/>
        <item x="286"/>
        <item x="369"/>
        <item x="8"/>
        <item x="213"/>
        <item x="62"/>
        <item x="128"/>
        <item x="359"/>
        <item x="45"/>
        <item x="267"/>
        <item x="6"/>
        <item x="52"/>
        <item x="139"/>
        <item x="209"/>
        <item x="255"/>
        <item x="225"/>
        <item x="312"/>
        <item x="275"/>
        <item x="85"/>
        <item x="104"/>
        <item x="151"/>
        <item x="231"/>
        <item x="105"/>
        <item x="86"/>
        <item x="273"/>
        <item x="111"/>
        <item x="259"/>
        <item x="199"/>
        <item x="140"/>
        <item x="242"/>
        <item x="146"/>
        <item x="202"/>
        <item x="292"/>
        <item x="315"/>
        <item x="284"/>
        <item x="276"/>
        <item x="382"/>
        <item x="172"/>
        <item x="4"/>
        <item x="186"/>
        <item x="306"/>
        <item x="337"/>
        <item x="156"/>
        <item x="280"/>
        <item x="117"/>
        <item x="193"/>
        <item x="39"/>
        <item x="323"/>
        <item x="222"/>
        <item x="328"/>
        <item x="279"/>
        <item x="304"/>
        <item x="260"/>
        <item x="143"/>
        <item x="335"/>
        <item x="130"/>
        <item x="316"/>
        <item x="270"/>
        <item x="171"/>
        <item x="322"/>
        <item x="178"/>
        <item x="357"/>
        <item x="89"/>
        <item x="28"/>
        <item x="214"/>
        <item x="88"/>
        <item x="56"/>
        <item x="177"/>
        <item x="49"/>
        <item x="262"/>
        <item x="355"/>
        <item x="377"/>
        <item x="43"/>
        <item x="102"/>
        <item x="360"/>
        <item x="174"/>
        <item x="282"/>
        <item x="285"/>
        <item x="205"/>
        <item x="162"/>
        <item x="122"/>
        <item x="385"/>
        <item x="194"/>
        <item x="68"/>
        <item x="47"/>
        <item x="9"/>
        <item x="10"/>
        <item x="110"/>
        <item x="305"/>
        <item x="42"/>
        <item x="149"/>
        <item x="261"/>
        <item x="378"/>
        <item x="83"/>
        <item x="339"/>
        <item x="238"/>
        <item x="281"/>
        <item x="233"/>
        <item x="387"/>
        <item x="98"/>
        <item x="93"/>
        <item x="26"/>
        <item x="97"/>
        <item x="163"/>
        <item x="127"/>
        <item x="20"/>
        <item x="330"/>
        <item x="218"/>
        <item x="69"/>
        <item x="92"/>
        <item x="220"/>
        <item x="390"/>
        <item x="36"/>
        <item x="320"/>
        <item x="219"/>
        <item x="203"/>
        <item x="120"/>
        <item x="159"/>
        <item x="374"/>
        <item x="187"/>
        <item x="349"/>
        <item x="345"/>
        <item x="384"/>
        <item x="129"/>
        <item x="317"/>
        <item x="60"/>
        <item x="200"/>
        <item x="344"/>
        <item x="223"/>
        <item x="368"/>
        <item x="365"/>
        <item x="17"/>
        <item x="288"/>
        <item x="201"/>
        <item x="340"/>
        <item x="392"/>
        <item t="default" sd="0"/>
      </items>
    </pivotField>
    <pivotField name="Bearbeitungsdauer pro Interval1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nterval2" compact="0" outline="0" showAll="0">
      <items count="7">
        <item x="2"/>
        <item x="0"/>
        <item x="1"/>
        <item x="4"/>
        <item x="3"/>
        <item x="5"/>
        <item t="default" sd="0"/>
      </items>
    </pivotField>
    <pivotField name="Ist Spalte F leer?" compact="0" outline="0" showAll="0">
      <items count="3">
        <item x="0"/>
        <item x="1"/>
        <item t="default" sd="0"/>
      </items>
    </pivotField>
  </pivotFields>
  <rowFields count="1">
    <field x="2"/>
  </rowFields>
  <rowItems count="3">
    <i>
      <x v="3"/>
    </i>
    <i>
      <x v="4"/>
    </i>
    <i t="grand">
      <x/>
    </i>
  </rowItems>
  <colItems count="1">
    <i/>
  </colItems>
  <pageFields count="2">
    <pageField fld="1" hier="-1"/>
    <pageField fld="6" hier="-1"/>
  </pageFields>
  <dataFields count="1">
    <dataField name="Summe von Kosten_EUR" fld="6" numFmtId="1"/>
  </dataFields>
  <pivotTableStyleInfo name="PivotStyleCustom07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</Relationships>
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21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</Relationships>
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444</v>
      </c>
      <c r="C11" s="3"/>
      <c r="D11" s="3"/>
    </row>
    <row r="12">
      <c r="B12" s="4"/>
      <c r="C12" t="s" s="4">
        <v>5</v>
      </c>
      <c r="D12" t="s" s="5">
        <v>444</v>
      </c>
    </row>
    <row r="13">
      <c r="B13" t="s" s="3">
        <v>459</v>
      </c>
      <c r="C13" s="3"/>
      <c r="D13" s="3"/>
    </row>
    <row r="14">
      <c r="B14" s="4"/>
      <c r="C14" t="s" s="4">
        <v>460</v>
      </c>
      <c r="D14" t="s" s="5">
        <v>459</v>
      </c>
    </row>
    <row r="15">
      <c r="B15" t="s" s="3">
        <v>465</v>
      </c>
      <c r="C15" s="3"/>
      <c r="D15" s="3"/>
    </row>
    <row r="16">
      <c r="B16" s="4"/>
      <c r="C16" t="s" s="4">
        <v>460</v>
      </c>
      <c r="D16" t="s" s="5">
        <v>466</v>
      </c>
    </row>
    <row r="17">
      <c r="B17" s="4"/>
      <c r="C17" t="s" s="4">
        <v>5</v>
      </c>
      <c r="D17" t="s" s="5">
        <v>468</v>
      </c>
    </row>
    <row r="18">
      <c r="B18" s="4"/>
      <c r="C18" t="s" s="4">
        <v>469</v>
      </c>
      <c r="D18" t="s" s="5">
        <v>470</v>
      </c>
    </row>
    <row r="19">
      <c r="B19" t="s" s="3">
        <v>471</v>
      </c>
      <c r="C19" s="3"/>
      <c r="D19" s="3"/>
    </row>
    <row r="20">
      <c r="B20" s="4"/>
      <c r="C20" t="s" s="4">
        <v>472</v>
      </c>
      <c r="D20" t="s" s="5">
        <v>473</v>
      </c>
    </row>
    <row r="21">
      <c r="B21" s="4"/>
      <c r="C21" t="s" s="4">
        <v>5</v>
      </c>
      <c r="D21" t="s" s="5">
        <v>475</v>
      </c>
    </row>
    <row r="22">
      <c r="B22" s="4"/>
      <c r="C22" t="s" s="4">
        <v>469</v>
      </c>
      <c r="D22" t="s" s="5">
        <v>476</v>
      </c>
    </row>
    <row r="23">
      <c r="B23" t="s" s="3">
        <v>477</v>
      </c>
      <c r="C23" s="3"/>
      <c r="D23" s="3"/>
    </row>
    <row r="24">
      <c r="B24" s="4"/>
      <c r="C24" t="s" s="4">
        <v>472</v>
      </c>
      <c r="D24" t="s" s="5">
        <v>477</v>
      </c>
    </row>
    <row r="25">
      <c r="B25" s="4"/>
      <c r="C25" t="s" s="4">
        <v>5</v>
      </c>
      <c r="D25" t="s" s="5">
        <v>479</v>
      </c>
    </row>
    <row r="26">
      <c r="B26" t="s" s="3">
        <v>480</v>
      </c>
      <c r="C26" s="3"/>
      <c r="D26" s="3"/>
    </row>
    <row r="27">
      <c r="B27" s="4"/>
      <c r="C27" t="s" s="4">
        <v>5</v>
      </c>
      <c r="D27" t="s" s="5">
        <v>480</v>
      </c>
    </row>
    <row r="28">
      <c r="B28" t="s" s="3">
        <v>485</v>
      </c>
      <c r="C28" s="3"/>
      <c r="D28" s="3"/>
    </row>
    <row r="29">
      <c r="B29" s="4"/>
      <c r="C29" t="s" s="4">
        <v>5</v>
      </c>
      <c r="D29" t="s" s="5">
        <v>485</v>
      </c>
    </row>
    <row r="30">
      <c r="B30" t="s" s="3">
        <v>486</v>
      </c>
      <c r="C30" s="3"/>
      <c r="D30" s="3"/>
    </row>
    <row r="31">
      <c r="B31" s="4"/>
      <c r="C31" t="s" s="4">
        <v>472</v>
      </c>
      <c r="D31" t="s" s="5">
        <v>486</v>
      </c>
    </row>
    <row r="32">
      <c r="B32" s="4"/>
      <c r="C32" t="s" s="4">
        <v>5</v>
      </c>
      <c r="D32" t="s" s="5">
        <v>488</v>
      </c>
    </row>
    <row r="33">
      <c r="B33" s="4"/>
      <c r="C33" t="s" s="4">
        <v>469</v>
      </c>
      <c r="D33" t="s" s="5">
        <v>489</v>
      </c>
    </row>
    <row r="34">
      <c r="B34" t="s" s="3">
        <v>490</v>
      </c>
      <c r="C34" s="3"/>
      <c r="D34" s="3"/>
    </row>
    <row r="35">
      <c r="B35" s="4"/>
      <c r="C35" t="s" s="4">
        <v>472</v>
      </c>
      <c r="D35" t="s" s="5">
        <v>490</v>
      </c>
    </row>
    <row r="36">
      <c r="B36" s="4"/>
      <c r="C36" t="s" s="4">
        <v>5</v>
      </c>
      <c r="D36" t="s" s="5">
        <v>491</v>
      </c>
    </row>
    <row r="37">
      <c r="B37" s="4"/>
      <c r="C37" t="s" s="4">
        <v>469</v>
      </c>
      <c r="D37" t="s" s="5">
        <v>492</v>
      </c>
    </row>
    <row r="38">
      <c r="B38" t="s" s="3">
        <v>493</v>
      </c>
      <c r="C38" s="3"/>
      <c r="D38" s="3"/>
    </row>
    <row r="39">
      <c r="B39" s="4"/>
      <c r="C39" t="s" s="4">
        <v>472</v>
      </c>
      <c r="D39" t="s" s="5">
        <v>493</v>
      </c>
    </row>
    <row r="40">
      <c r="B40" s="4"/>
      <c r="C40" t="s" s="4">
        <v>5</v>
      </c>
      <c r="D40" t="s" s="5">
        <v>494</v>
      </c>
    </row>
    <row r="41">
      <c r="B41" s="4"/>
      <c r="C41" t="s" s="4">
        <v>469</v>
      </c>
      <c r="D41" t="s" s="5">
        <v>495</v>
      </c>
    </row>
  </sheetData>
  <mergeCells count="1">
    <mergeCell ref="B3:D3"/>
  </mergeCells>
  <hyperlinks>
    <hyperlink ref="D10" location="'Rohdaten'!R1C1" tooltip="" display="Rohdaten"/>
    <hyperlink ref="D12" location="'Rohdaten-1'!R1C1" tooltip="" display="Rohdaten-1"/>
    <hyperlink ref="D14" location="'Aggregation (Summe_Anzahl_Durch'!R2C1" tooltip="" display="Aggregation (Summe_Anzahl_Durch"/>
    <hyperlink ref="D16" location="'Gruppierung - Summe - Summe'!R2C1" tooltip="" display="Gruppierung - Summe - Summe"/>
    <hyperlink ref="D17" location="'Gruppierung - Summe - Tabelle 1'!R1C1" tooltip="" display="Gruppierung - Summe - Tabelle 1"/>
    <hyperlink ref="D18" location="'Gruppierung - Summe - Zeichnung'!R1C1" tooltip="" display="Gruppierung - Summe - Zeichnung"/>
    <hyperlink ref="D20" location="'Gruppierung2 - Tabelle 1 Pivot '!R2C1" tooltip="" display="Gruppierung2 - Tabelle 1 Pivot "/>
    <hyperlink ref="D21" location="'Gruppierung2 - Tabelle 1 Pivot1'!R1C1" tooltip="" display="Gruppierung2 - Tabelle 1 Pivot1"/>
    <hyperlink ref="D22" location="'Gruppierung2 - Tabelle 1 Pivot2'!R1C1" tooltip="" display="Gruppierung2 - Tabelle 1 Pivot2"/>
    <hyperlink ref="D24" location="'Berechnetes Feld - Tabelle 1 Pi'!R2C1" tooltip="" display="Berechnetes Feld - Tabelle 1 Pi"/>
    <hyperlink ref="D25" location="'Berechnetes Feld - Tabelle 1 P1'!R1C1" tooltip="" display="Berechnetes Feld - Tabelle 1 P1"/>
    <hyperlink ref="D27" location="'Berechnetes Feld - Tabelle 1'!R1C1" tooltip="" display="Berechnetes Feld - Tabelle 1"/>
    <hyperlink ref="D29" location="'Berechnetes Feld - Zeichnungen'!R1C1" tooltip="" display="Berechnetes Feld - Zeichnungen"/>
    <hyperlink ref="D31" location="'Wertfeldeinstellungen - Tabelle'!R2C1" tooltip="" display="Wertfeldeinstellungen - Tabelle"/>
    <hyperlink ref="D32" location="'Wertfeldeinstellungen - Tabell1'!R1C1" tooltip="" display="Wertfeldeinstellungen - Tabell1"/>
    <hyperlink ref="D33" location="'Wertfeldeinstellungen - Tabell2'!R1C1" tooltip="" display="Wertfeldeinstellungen - Tabell2"/>
    <hyperlink ref="D35" location="'Wertfeldeinstellungen-1 - Tabel'!R2C1" tooltip="" display="Wertfeldeinstellungen-1 - Tabel"/>
    <hyperlink ref="D36" location="'Wertfeldeinstellungen-1 - Tabe1'!R1C1" tooltip="" display="Wertfeldeinstellungen-1 - Tabe1"/>
    <hyperlink ref="D37" location="'Wertfeldeinstellungen-1 - Tabe2'!R1C1" tooltip="" display="Wertfeldeinstellungen-1 - Tabe2"/>
    <hyperlink ref="D39" location="'Slicer und Zeitachse - Tabelle '!R2C1" tooltip="" display="Slicer und Zeitachse - Tabelle "/>
    <hyperlink ref="D40" location="'Slicer und Zeitachse - Tabelle1'!R1C1" tooltip="" display="Slicer und Zeitachse - Tabelle1"/>
    <hyperlink ref="D41" location="'Slicer und Zeitachse - Tabelle2'!R1C1" tooltip="" display="Slicer und Zeitachse - Tabelle2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I401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6" customWidth="1"/>
    <col min="2" max="2" width="18" style="6" customWidth="1"/>
    <col min="3" max="4" width="14" style="6" customWidth="1"/>
    <col min="5" max="5" width="21" style="6" customWidth="1"/>
    <col min="6" max="6" width="25.5" style="6" customWidth="1"/>
    <col min="7" max="7" width="12" style="6" customWidth="1"/>
    <col min="8" max="8" width="13" style="6" customWidth="1"/>
    <col min="9" max="9" width="8.85156" style="6" customWidth="1"/>
    <col min="10" max="16384" width="8.85156" style="6" customWidth="1"/>
  </cols>
  <sheetData>
    <row r="1" ht="14.6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9">
        <v>13</v>
      </c>
      <c r="I1" t="s" s="10">
        <v>14</v>
      </c>
    </row>
    <row r="2" ht="14.65" customHeight="1">
      <c r="A2" t="s" s="11">
        <v>15</v>
      </c>
      <c r="B2" s="12">
        <v>45658</v>
      </c>
      <c r="C2" t="s" s="13">
        <v>16</v>
      </c>
      <c r="D2" t="s" s="13">
        <v>17</v>
      </c>
      <c r="E2" t="s" s="13">
        <v>18</v>
      </c>
      <c r="F2" s="14">
        <v>28</v>
      </c>
      <c r="G2" s="15">
        <v>40.93</v>
      </c>
      <c r="H2" t="s" s="16">
        <v>19</v>
      </c>
      <c r="I2" s="17"/>
    </row>
    <row r="3" ht="14.65" customHeight="1">
      <c r="A3" t="s" s="18">
        <v>20</v>
      </c>
      <c r="B3" s="19">
        <v>45661</v>
      </c>
      <c r="C3" t="s" s="20">
        <v>21</v>
      </c>
      <c r="D3" t="s" s="20">
        <v>22</v>
      </c>
      <c r="E3" t="s" s="20">
        <v>23</v>
      </c>
      <c r="F3" s="21">
        <v>32</v>
      </c>
      <c r="G3" s="22">
        <v>35.37</v>
      </c>
      <c r="H3" t="s" s="23">
        <v>24</v>
      </c>
      <c r="I3" s="17"/>
    </row>
    <row r="4" ht="14.65" customHeight="1">
      <c r="A4" t="s" s="11">
        <v>25</v>
      </c>
      <c r="B4" s="12">
        <v>45661</v>
      </c>
      <c r="C4" t="s" s="13">
        <v>26</v>
      </c>
      <c r="D4" t="s" s="13">
        <v>27</v>
      </c>
      <c r="E4" t="s" s="13">
        <v>28</v>
      </c>
      <c r="F4" s="14">
        <v>42</v>
      </c>
      <c r="G4" s="15">
        <v>60.14</v>
      </c>
      <c r="H4" t="s" s="16">
        <v>19</v>
      </c>
      <c r="I4" s="17"/>
    </row>
    <row r="5" ht="14.65" customHeight="1">
      <c r="A5" t="s" s="18">
        <v>29</v>
      </c>
      <c r="B5" s="19">
        <v>45661</v>
      </c>
      <c r="C5" t="s" s="20">
        <v>30</v>
      </c>
      <c r="D5" t="s" s="20">
        <v>31</v>
      </c>
      <c r="E5" t="s" s="20">
        <v>32</v>
      </c>
      <c r="F5" s="21">
        <v>41</v>
      </c>
      <c r="G5" s="22">
        <v>50.87</v>
      </c>
      <c r="H5" t="s" s="23">
        <v>24</v>
      </c>
      <c r="I5" s="17"/>
    </row>
    <row r="6" ht="14.65" customHeight="1">
      <c r="A6" t="s" s="11">
        <v>33</v>
      </c>
      <c r="B6" s="12">
        <v>45662</v>
      </c>
      <c r="C6" t="s" s="13">
        <v>34</v>
      </c>
      <c r="D6" t="s" s="13">
        <v>35</v>
      </c>
      <c r="E6" t="s" s="13">
        <v>36</v>
      </c>
      <c r="F6" s="14">
        <v>22</v>
      </c>
      <c r="G6" s="15">
        <v>36</v>
      </c>
      <c r="H6" t="s" s="16">
        <v>19</v>
      </c>
      <c r="I6" s="17"/>
    </row>
    <row r="7" ht="14.65" customHeight="1">
      <c r="A7" t="s" s="18">
        <v>37</v>
      </c>
      <c r="B7" s="19">
        <v>45665</v>
      </c>
      <c r="C7" t="s" s="20">
        <v>26</v>
      </c>
      <c r="D7" t="s" s="20">
        <v>38</v>
      </c>
      <c r="E7" t="s" s="20">
        <v>39</v>
      </c>
      <c r="F7" s="21">
        <v>19</v>
      </c>
      <c r="G7" s="22">
        <v>27.52</v>
      </c>
      <c r="H7" t="s" s="23">
        <v>19</v>
      </c>
      <c r="I7" s="17"/>
    </row>
    <row r="8" ht="14.65" customHeight="1">
      <c r="A8" t="s" s="11">
        <v>40</v>
      </c>
      <c r="B8" s="12">
        <v>45666</v>
      </c>
      <c r="C8" t="s" s="13">
        <v>26</v>
      </c>
      <c r="D8" t="s" s="13">
        <v>38</v>
      </c>
      <c r="E8" t="s" s="13">
        <v>28</v>
      </c>
      <c r="F8" s="14">
        <v>22</v>
      </c>
      <c r="G8" s="15">
        <v>35.24</v>
      </c>
      <c r="H8" t="s" s="16">
        <v>19</v>
      </c>
      <c r="I8" s="17"/>
    </row>
    <row r="9" ht="14.65" customHeight="1">
      <c r="A9" t="s" s="18">
        <v>41</v>
      </c>
      <c r="B9" s="19">
        <v>45668</v>
      </c>
      <c r="C9" t="s" s="20">
        <v>30</v>
      </c>
      <c r="D9" t="s" s="20">
        <v>42</v>
      </c>
      <c r="E9" t="s" s="20">
        <v>43</v>
      </c>
      <c r="F9" s="21">
        <v>27</v>
      </c>
      <c r="G9" s="22">
        <v>30.94</v>
      </c>
      <c r="H9" t="s" s="23">
        <v>19</v>
      </c>
      <c r="I9" s="17"/>
    </row>
    <row r="10" ht="14.65" customHeight="1">
      <c r="A10" t="s" s="11">
        <v>44</v>
      </c>
      <c r="B10" s="12">
        <v>45668</v>
      </c>
      <c r="C10" t="s" s="13">
        <v>26</v>
      </c>
      <c r="D10" t="s" s="13">
        <v>45</v>
      </c>
      <c r="E10" t="s" s="13">
        <v>28</v>
      </c>
      <c r="F10" s="14">
        <v>28</v>
      </c>
      <c r="G10" s="15">
        <v>44.47</v>
      </c>
      <c r="H10" t="s" s="16">
        <v>19</v>
      </c>
      <c r="I10" s="17"/>
    </row>
    <row r="11" ht="14.65" customHeight="1">
      <c r="A11" t="s" s="18">
        <v>46</v>
      </c>
      <c r="B11" s="19">
        <v>45671</v>
      </c>
      <c r="C11" t="s" s="20">
        <v>34</v>
      </c>
      <c r="D11" t="s" s="20">
        <v>47</v>
      </c>
      <c r="E11" t="s" s="20">
        <v>48</v>
      </c>
      <c r="F11" s="21">
        <v>53</v>
      </c>
      <c r="G11" s="22">
        <v>92.06</v>
      </c>
      <c r="H11" t="s" s="23">
        <v>19</v>
      </c>
      <c r="I11" s="17"/>
    </row>
    <row r="12" ht="14.65" customHeight="1">
      <c r="A12" t="s" s="11">
        <v>49</v>
      </c>
      <c r="B12" s="12">
        <v>45671</v>
      </c>
      <c r="C12" t="s" s="13">
        <v>34</v>
      </c>
      <c r="D12" t="s" s="13">
        <v>47</v>
      </c>
      <c r="E12" t="s" s="13">
        <v>48</v>
      </c>
      <c r="F12" s="14">
        <v>42</v>
      </c>
      <c r="G12" s="15">
        <v>73.06</v>
      </c>
      <c r="H12" t="s" s="16">
        <v>19</v>
      </c>
      <c r="I12" s="17"/>
    </row>
    <row r="13" ht="14.65" customHeight="1">
      <c r="A13" t="s" s="18">
        <v>50</v>
      </c>
      <c r="B13" s="19">
        <v>45672</v>
      </c>
      <c r="C13" t="s" s="20">
        <v>21</v>
      </c>
      <c r="D13" t="s" s="20">
        <v>51</v>
      </c>
      <c r="E13" t="s" s="20">
        <v>52</v>
      </c>
      <c r="F13" s="21">
        <v>26</v>
      </c>
      <c r="G13" s="22">
        <v>29.69</v>
      </c>
      <c r="H13" t="s" s="23">
        <v>19</v>
      </c>
      <c r="I13" s="17"/>
    </row>
    <row r="14" ht="14.65" customHeight="1">
      <c r="A14" t="s" s="11">
        <v>53</v>
      </c>
      <c r="B14" s="12">
        <v>45677</v>
      </c>
      <c r="C14" t="s" s="13">
        <v>26</v>
      </c>
      <c r="D14" t="s" s="13">
        <v>45</v>
      </c>
      <c r="E14" t="s" s="13">
        <v>28</v>
      </c>
      <c r="F14" s="14">
        <v>59</v>
      </c>
      <c r="G14" s="15">
        <v>82.65000000000001</v>
      </c>
      <c r="H14" t="s" s="16">
        <v>24</v>
      </c>
      <c r="I14" s="17"/>
    </row>
    <row r="15" ht="14.65" customHeight="1">
      <c r="A15" t="s" s="18">
        <v>54</v>
      </c>
      <c r="B15" s="19">
        <v>45677</v>
      </c>
      <c r="C15" t="s" s="20">
        <v>21</v>
      </c>
      <c r="D15" t="s" s="20">
        <v>51</v>
      </c>
      <c r="E15" t="s" s="20">
        <v>23</v>
      </c>
      <c r="F15" s="21">
        <v>24</v>
      </c>
      <c r="G15" s="22">
        <v>29.83</v>
      </c>
      <c r="H15" t="s" s="23">
        <v>19</v>
      </c>
      <c r="I15" s="17"/>
    </row>
    <row r="16" ht="14.65" customHeight="1">
      <c r="A16" t="s" s="11">
        <v>55</v>
      </c>
      <c r="B16" s="12">
        <v>45678</v>
      </c>
      <c r="C16" t="s" s="13">
        <v>21</v>
      </c>
      <c r="D16" t="s" s="13">
        <v>51</v>
      </c>
      <c r="E16" t="s" s="13">
        <v>52</v>
      </c>
      <c r="F16" s="14">
        <v>25</v>
      </c>
      <c r="G16" s="15">
        <v>26.47</v>
      </c>
      <c r="H16" t="s" s="16">
        <v>19</v>
      </c>
      <c r="I16" s="17"/>
    </row>
    <row r="17" ht="14.65" customHeight="1">
      <c r="A17" t="s" s="18">
        <v>56</v>
      </c>
      <c r="B17" s="19">
        <v>45678</v>
      </c>
      <c r="C17" t="s" s="20">
        <v>21</v>
      </c>
      <c r="D17" t="s" s="20">
        <v>22</v>
      </c>
      <c r="E17" t="s" s="20">
        <v>52</v>
      </c>
      <c r="F17" s="21">
        <v>20</v>
      </c>
      <c r="G17" s="22">
        <v>25.09</v>
      </c>
      <c r="H17" t="s" s="23">
        <v>19</v>
      </c>
      <c r="I17" s="17"/>
    </row>
    <row r="18" ht="14.65" customHeight="1">
      <c r="A18" t="s" s="11">
        <v>57</v>
      </c>
      <c r="B18" s="12">
        <v>45681</v>
      </c>
      <c r="C18" t="s" s="13">
        <v>26</v>
      </c>
      <c r="D18" t="s" s="13">
        <v>45</v>
      </c>
      <c r="E18" t="s" s="13">
        <v>43</v>
      </c>
      <c r="F18" s="14">
        <v>38</v>
      </c>
      <c r="G18" s="15">
        <v>57.21</v>
      </c>
      <c r="H18" t="s" s="16">
        <v>19</v>
      </c>
      <c r="I18" s="17"/>
    </row>
    <row r="19" ht="14.65" customHeight="1">
      <c r="A19" t="s" s="18">
        <v>58</v>
      </c>
      <c r="B19" s="19">
        <v>45681</v>
      </c>
      <c r="C19" t="s" s="20">
        <v>34</v>
      </c>
      <c r="D19" t="s" s="20">
        <v>47</v>
      </c>
      <c r="E19" t="s" s="20">
        <v>59</v>
      </c>
      <c r="F19" s="21">
        <v>35</v>
      </c>
      <c r="G19" s="22">
        <v>70.77</v>
      </c>
      <c r="H19" t="s" s="23">
        <v>19</v>
      </c>
      <c r="I19" s="17"/>
    </row>
    <row r="20" ht="14.65" customHeight="1">
      <c r="A20" t="s" s="11">
        <v>60</v>
      </c>
      <c r="B20" s="12">
        <v>45681</v>
      </c>
      <c r="C20" t="s" s="13">
        <v>30</v>
      </c>
      <c r="D20" t="s" s="13">
        <v>42</v>
      </c>
      <c r="E20" t="s" s="13">
        <v>43</v>
      </c>
      <c r="F20" s="14">
        <v>30</v>
      </c>
      <c r="G20" s="15">
        <v>40.81</v>
      </c>
      <c r="H20" t="s" s="16">
        <v>19</v>
      </c>
      <c r="I20" s="17"/>
    </row>
    <row r="21" ht="14.65" customHeight="1">
      <c r="A21" t="s" s="18">
        <v>61</v>
      </c>
      <c r="B21" s="19">
        <v>45682</v>
      </c>
      <c r="C21" t="s" s="20">
        <v>26</v>
      </c>
      <c r="D21" t="s" s="20">
        <v>38</v>
      </c>
      <c r="E21" t="s" s="20">
        <v>39</v>
      </c>
      <c r="F21" s="21">
        <v>27</v>
      </c>
      <c r="G21" s="22">
        <v>40.89</v>
      </c>
      <c r="H21" t="s" s="23">
        <v>19</v>
      </c>
      <c r="I21" s="17"/>
    </row>
    <row r="22" ht="14.65" customHeight="1">
      <c r="A22" t="s" s="11">
        <v>62</v>
      </c>
      <c r="B22" s="12">
        <v>45683</v>
      </c>
      <c r="C22" t="s" s="13">
        <v>16</v>
      </c>
      <c r="D22" t="s" s="13">
        <v>63</v>
      </c>
      <c r="E22" t="s" s="13">
        <v>36</v>
      </c>
      <c r="F22" s="14">
        <v>38</v>
      </c>
      <c r="G22" s="15">
        <v>68.8</v>
      </c>
      <c r="H22" t="s" s="16">
        <v>19</v>
      </c>
      <c r="I22" s="17"/>
    </row>
    <row r="23" ht="14.65" customHeight="1">
      <c r="A23" t="s" s="18">
        <v>64</v>
      </c>
      <c r="B23" s="19">
        <v>45683</v>
      </c>
      <c r="C23" t="s" s="20">
        <v>16</v>
      </c>
      <c r="D23" t="s" s="20">
        <v>63</v>
      </c>
      <c r="E23" t="s" s="20">
        <v>65</v>
      </c>
      <c r="F23" s="21">
        <v>42</v>
      </c>
      <c r="G23" s="22">
        <v>64.39</v>
      </c>
      <c r="H23" t="s" s="23">
        <v>19</v>
      </c>
      <c r="I23" s="17"/>
    </row>
    <row r="24" ht="14.65" customHeight="1">
      <c r="A24" t="s" s="11">
        <v>66</v>
      </c>
      <c r="B24" s="12">
        <v>45684</v>
      </c>
      <c r="C24" t="s" s="13">
        <v>21</v>
      </c>
      <c r="D24" t="s" s="13">
        <v>22</v>
      </c>
      <c r="E24" t="s" s="13">
        <v>32</v>
      </c>
      <c r="F24" s="14">
        <v>12</v>
      </c>
      <c r="G24" s="15">
        <v>14.03</v>
      </c>
      <c r="H24" t="s" s="16">
        <v>19</v>
      </c>
      <c r="I24" s="17"/>
    </row>
    <row r="25" ht="14.65" customHeight="1">
      <c r="A25" t="s" s="18">
        <v>67</v>
      </c>
      <c r="B25" s="19">
        <v>45684</v>
      </c>
      <c r="C25" t="s" s="20">
        <v>26</v>
      </c>
      <c r="D25" t="s" s="20">
        <v>45</v>
      </c>
      <c r="E25" t="s" s="20">
        <v>28</v>
      </c>
      <c r="F25" s="21">
        <v>41</v>
      </c>
      <c r="G25" s="22">
        <v>56.49</v>
      </c>
      <c r="H25" t="s" s="23">
        <v>19</v>
      </c>
      <c r="I25" s="17"/>
    </row>
    <row r="26" ht="14.65" customHeight="1">
      <c r="A26" t="s" s="11">
        <v>68</v>
      </c>
      <c r="B26" s="12">
        <v>45684</v>
      </c>
      <c r="C26" t="s" s="13">
        <v>21</v>
      </c>
      <c r="D26" t="s" s="13">
        <v>22</v>
      </c>
      <c r="E26" t="s" s="13">
        <v>23</v>
      </c>
      <c r="F26" s="14">
        <v>29</v>
      </c>
      <c r="G26" s="15">
        <v>29.54</v>
      </c>
      <c r="H26" t="s" s="16">
        <v>19</v>
      </c>
      <c r="I26" s="17"/>
    </row>
    <row r="27" ht="14.65" customHeight="1">
      <c r="A27" t="s" s="18">
        <v>69</v>
      </c>
      <c r="B27" s="19">
        <v>45684</v>
      </c>
      <c r="C27" t="s" s="20">
        <v>30</v>
      </c>
      <c r="D27" t="s" s="20">
        <v>42</v>
      </c>
      <c r="E27" t="s" s="20">
        <v>70</v>
      </c>
      <c r="F27" s="21">
        <v>21</v>
      </c>
      <c r="G27" s="22">
        <v>25.86</v>
      </c>
      <c r="H27" t="s" s="23">
        <v>19</v>
      </c>
      <c r="I27" s="17"/>
    </row>
    <row r="28" ht="14.65" customHeight="1">
      <c r="A28" t="s" s="11">
        <v>71</v>
      </c>
      <c r="B28" s="12">
        <v>45685</v>
      </c>
      <c r="C28" t="s" s="13">
        <v>16</v>
      </c>
      <c r="D28" t="s" s="13">
        <v>63</v>
      </c>
      <c r="E28" t="s" s="13">
        <v>36</v>
      </c>
      <c r="F28" s="14">
        <v>21</v>
      </c>
      <c r="G28" s="15">
        <v>37.48</v>
      </c>
      <c r="H28" t="s" s="16">
        <v>19</v>
      </c>
      <c r="I28" s="17"/>
    </row>
    <row r="29" ht="14.65" customHeight="1">
      <c r="A29" t="s" s="18">
        <v>72</v>
      </c>
      <c r="B29" s="19">
        <v>45685</v>
      </c>
      <c r="C29" t="s" s="20">
        <v>30</v>
      </c>
      <c r="D29" t="s" s="20">
        <v>42</v>
      </c>
      <c r="E29" t="s" s="20">
        <v>43</v>
      </c>
      <c r="F29" s="21">
        <v>33</v>
      </c>
      <c r="G29" s="22">
        <v>44.28</v>
      </c>
      <c r="H29" t="s" s="23">
        <v>19</v>
      </c>
      <c r="I29" s="17"/>
    </row>
    <row r="30" ht="14.65" customHeight="1">
      <c r="A30" t="s" s="11">
        <v>73</v>
      </c>
      <c r="B30" s="12">
        <v>45686</v>
      </c>
      <c r="C30" t="s" s="13">
        <v>26</v>
      </c>
      <c r="D30" t="s" s="13">
        <v>38</v>
      </c>
      <c r="E30" t="s" s="13">
        <v>39</v>
      </c>
      <c r="F30" s="14">
        <v>31</v>
      </c>
      <c r="G30" s="15">
        <v>52.47</v>
      </c>
      <c r="H30" t="s" s="16">
        <v>19</v>
      </c>
      <c r="I30" s="17"/>
    </row>
    <row r="31" ht="14.65" customHeight="1">
      <c r="A31" t="s" s="18">
        <v>74</v>
      </c>
      <c r="B31" s="19">
        <v>45686</v>
      </c>
      <c r="C31" t="s" s="20">
        <v>26</v>
      </c>
      <c r="D31" t="s" s="20">
        <v>45</v>
      </c>
      <c r="E31" t="s" s="20">
        <v>39</v>
      </c>
      <c r="F31" s="21">
        <v>7</v>
      </c>
      <c r="G31" s="22">
        <v>9.83</v>
      </c>
      <c r="H31" t="s" s="23">
        <v>19</v>
      </c>
      <c r="I31" s="17"/>
    </row>
    <row r="32" ht="14.65" customHeight="1">
      <c r="A32" t="s" s="11">
        <v>75</v>
      </c>
      <c r="B32" s="12">
        <v>45686</v>
      </c>
      <c r="C32" t="s" s="13">
        <v>21</v>
      </c>
      <c r="D32" t="s" s="13">
        <v>51</v>
      </c>
      <c r="E32" t="s" s="13">
        <v>23</v>
      </c>
      <c r="F32" s="14">
        <v>24</v>
      </c>
      <c r="G32" s="15">
        <v>28.44</v>
      </c>
      <c r="H32" t="s" s="16">
        <v>19</v>
      </c>
      <c r="I32" s="17"/>
    </row>
    <row r="33" ht="14.65" customHeight="1">
      <c r="A33" t="s" s="18">
        <v>76</v>
      </c>
      <c r="B33" s="19">
        <v>45688</v>
      </c>
      <c r="C33" t="s" s="20">
        <v>21</v>
      </c>
      <c r="D33" t="s" s="20">
        <v>51</v>
      </c>
      <c r="E33" t="s" s="20">
        <v>23</v>
      </c>
      <c r="F33" s="21">
        <v>28</v>
      </c>
      <c r="G33" s="22">
        <v>33.64</v>
      </c>
      <c r="H33" t="s" s="23">
        <v>19</v>
      </c>
      <c r="I33" s="17"/>
    </row>
    <row r="34" ht="14.65" customHeight="1">
      <c r="A34" t="s" s="11">
        <v>77</v>
      </c>
      <c r="B34" s="12">
        <v>45688</v>
      </c>
      <c r="C34" t="s" s="13">
        <v>30</v>
      </c>
      <c r="D34" t="s" s="13">
        <v>42</v>
      </c>
      <c r="E34" t="s" s="13">
        <v>43</v>
      </c>
      <c r="F34" s="14">
        <v>19</v>
      </c>
      <c r="G34" s="15">
        <v>20.8</v>
      </c>
      <c r="H34" t="s" s="16">
        <v>19</v>
      </c>
      <c r="I34" s="17"/>
    </row>
    <row r="35" ht="14.65" customHeight="1">
      <c r="A35" t="s" s="18">
        <v>78</v>
      </c>
      <c r="B35" s="19">
        <v>45689</v>
      </c>
      <c r="C35" t="s" s="20">
        <v>21</v>
      </c>
      <c r="D35" t="s" s="20">
        <v>22</v>
      </c>
      <c r="E35" t="s" s="20">
        <v>23</v>
      </c>
      <c r="F35" s="21">
        <v>16</v>
      </c>
      <c r="G35" s="22">
        <v>19.84</v>
      </c>
      <c r="H35" t="s" s="23">
        <v>19</v>
      </c>
      <c r="I35" s="17"/>
    </row>
    <row r="36" ht="14.65" customHeight="1">
      <c r="A36" t="s" s="11">
        <v>79</v>
      </c>
      <c r="B36" s="12">
        <v>45691</v>
      </c>
      <c r="C36" t="s" s="13">
        <v>26</v>
      </c>
      <c r="D36" t="s" s="13">
        <v>27</v>
      </c>
      <c r="E36" t="s" s="13">
        <v>43</v>
      </c>
      <c r="F36" s="14">
        <v>21</v>
      </c>
      <c r="G36" s="15">
        <v>31.39</v>
      </c>
      <c r="H36" t="s" s="16">
        <v>19</v>
      </c>
      <c r="I36" s="17"/>
    </row>
    <row r="37" ht="14.65" customHeight="1">
      <c r="A37" t="s" s="18">
        <v>80</v>
      </c>
      <c r="B37" s="19">
        <v>45694</v>
      </c>
      <c r="C37" t="s" s="20">
        <v>16</v>
      </c>
      <c r="D37" t="s" s="20">
        <v>63</v>
      </c>
      <c r="E37" t="s" s="20">
        <v>36</v>
      </c>
      <c r="F37" s="21">
        <v>33</v>
      </c>
      <c r="G37" s="22">
        <v>51.88</v>
      </c>
      <c r="H37" t="s" s="23">
        <v>19</v>
      </c>
      <c r="I37" s="17"/>
    </row>
    <row r="38" ht="14.65" customHeight="1">
      <c r="A38" t="s" s="11">
        <v>81</v>
      </c>
      <c r="B38" s="12">
        <v>45695</v>
      </c>
      <c r="C38" t="s" s="13">
        <v>34</v>
      </c>
      <c r="D38" t="s" s="13">
        <v>35</v>
      </c>
      <c r="E38" t="s" s="13">
        <v>48</v>
      </c>
      <c r="F38" s="14">
        <v>32</v>
      </c>
      <c r="G38" s="15">
        <v>59.58</v>
      </c>
      <c r="H38" t="s" s="16">
        <v>19</v>
      </c>
      <c r="I38" s="17"/>
    </row>
    <row r="39" ht="14.65" customHeight="1">
      <c r="A39" t="s" s="18">
        <v>82</v>
      </c>
      <c r="B39" s="19">
        <v>45695</v>
      </c>
      <c r="C39" t="s" s="20">
        <v>21</v>
      </c>
      <c r="D39" t="s" s="20">
        <v>22</v>
      </c>
      <c r="E39" t="s" s="20">
        <v>52</v>
      </c>
      <c r="F39" s="21">
        <v>11</v>
      </c>
      <c r="G39" s="22">
        <v>11.34</v>
      </c>
      <c r="H39" t="s" s="23">
        <v>19</v>
      </c>
      <c r="I39" s="17"/>
    </row>
    <row r="40" ht="14.65" customHeight="1">
      <c r="A40" t="s" s="11">
        <v>83</v>
      </c>
      <c r="B40" s="12">
        <v>45695</v>
      </c>
      <c r="C40" t="s" s="13">
        <v>30</v>
      </c>
      <c r="D40" t="s" s="13">
        <v>31</v>
      </c>
      <c r="E40" t="s" s="13">
        <v>32</v>
      </c>
      <c r="F40" s="14">
        <v>35</v>
      </c>
      <c r="G40" s="15">
        <v>48.16</v>
      </c>
      <c r="H40" t="s" s="16">
        <v>19</v>
      </c>
      <c r="I40" s="17"/>
    </row>
    <row r="41" ht="14.65" customHeight="1">
      <c r="A41" t="s" s="18">
        <v>84</v>
      </c>
      <c r="B41" s="19">
        <v>45695</v>
      </c>
      <c r="C41" t="s" s="20">
        <v>34</v>
      </c>
      <c r="D41" t="s" s="20">
        <v>47</v>
      </c>
      <c r="E41" t="s" s="20">
        <v>36</v>
      </c>
      <c r="F41" s="21">
        <v>46</v>
      </c>
      <c r="G41" s="22">
        <v>75.84</v>
      </c>
      <c r="H41" t="s" s="23">
        <v>19</v>
      </c>
      <c r="I41" s="17"/>
    </row>
    <row r="42" ht="14.65" customHeight="1">
      <c r="A42" t="s" s="11">
        <v>85</v>
      </c>
      <c r="B42" s="12">
        <v>45695</v>
      </c>
      <c r="C42" t="s" s="13">
        <v>26</v>
      </c>
      <c r="D42" t="s" s="13">
        <v>27</v>
      </c>
      <c r="E42" t="s" s="13">
        <v>43</v>
      </c>
      <c r="F42" s="14">
        <v>30</v>
      </c>
      <c r="G42" s="15">
        <v>42.85</v>
      </c>
      <c r="H42" t="s" s="16">
        <v>19</v>
      </c>
      <c r="I42" s="17"/>
    </row>
    <row r="43" ht="14.65" customHeight="1">
      <c r="A43" t="s" s="18">
        <v>86</v>
      </c>
      <c r="B43" s="19">
        <v>45697</v>
      </c>
      <c r="C43" t="s" s="20">
        <v>21</v>
      </c>
      <c r="D43" t="s" s="20">
        <v>22</v>
      </c>
      <c r="E43" t="s" s="20">
        <v>52</v>
      </c>
      <c r="F43" s="21">
        <v>11</v>
      </c>
      <c r="G43" s="22">
        <v>11.77</v>
      </c>
      <c r="H43" t="s" s="23">
        <v>19</v>
      </c>
      <c r="I43" s="17"/>
    </row>
    <row r="44" ht="14.65" customHeight="1">
      <c r="A44" t="s" s="11">
        <v>87</v>
      </c>
      <c r="B44" s="12">
        <v>45701</v>
      </c>
      <c r="C44" t="s" s="13">
        <v>16</v>
      </c>
      <c r="D44" t="s" s="13">
        <v>63</v>
      </c>
      <c r="E44" t="s" s="13">
        <v>65</v>
      </c>
      <c r="F44" s="14">
        <v>39</v>
      </c>
      <c r="G44" s="15">
        <v>68.11</v>
      </c>
      <c r="H44" t="s" s="16">
        <v>19</v>
      </c>
      <c r="I44" s="17"/>
    </row>
    <row r="45" ht="14.65" customHeight="1">
      <c r="A45" t="s" s="18">
        <v>88</v>
      </c>
      <c r="B45" s="19">
        <v>45701</v>
      </c>
      <c r="C45" t="s" s="20">
        <v>26</v>
      </c>
      <c r="D45" t="s" s="20">
        <v>27</v>
      </c>
      <c r="E45" t="s" s="20">
        <v>43</v>
      </c>
      <c r="F45" s="21">
        <v>30</v>
      </c>
      <c r="G45" s="22">
        <v>51.21</v>
      </c>
      <c r="H45" t="s" s="23">
        <v>19</v>
      </c>
      <c r="I45" s="17"/>
    </row>
    <row r="46" ht="14.65" customHeight="1">
      <c r="A46" t="s" s="11">
        <v>89</v>
      </c>
      <c r="B46" s="12">
        <v>45701</v>
      </c>
      <c r="C46" t="s" s="13">
        <v>26</v>
      </c>
      <c r="D46" t="s" s="13">
        <v>45</v>
      </c>
      <c r="E46" t="s" s="13">
        <v>39</v>
      </c>
      <c r="F46" s="14">
        <v>25</v>
      </c>
      <c r="G46" s="15">
        <v>38.21</v>
      </c>
      <c r="H46" t="s" s="16">
        <v>19</v>
      </c>
      <c r="I46" s="17"/>
    </row>
    <row r="47" ht="14.65" customHeight="1">
      <c r="A47" t="s" s="18">
        <v>90</v>
      </c>
      <c r="B47" s="19">
        <v>45701</v>
      </c>
      <c r="C47" t="s" s="20">
        <v>26</v>
      </c>
      <c r="D47" t="s" s="20">
        <v>45</v>
      </c>
      <c r="E47" t="s" s="20">
        <v>43</v>
      </c>
      <c r="F47" s="21">
        <v>42</v>
      </c>
      <c r="G47" s="22">
        <v>67.25</v>
      </c>
      <c r="H47" t="s" s="23">
        <v>19</v>
      </c>
      <c r="I47" s="17"/>
    </row>
    <row r="48" ht="14.65" customHeight="1">
      <c r="A48" t="s" s="11">
        <v>91</v>
      </c>
      <c r="B48" s="12">
        <v>45703</v>
      </c>
      <c r="C48" t="s" s="13">
        <v>26</v>
      </c>
      <c r="D48" t="s" s="13">
        <v>45</v>
      </c>
      <c r="E48" t="s" s="13">
        <v>28</v>
      </c>
      <c r="F48" s="14">
        <v>49</v>
      </c>
      <c r="G48" s="15">
        <v>75.61</v>
      </c>
      <c r="H48" t="s" s="16">
        <v>19</v>
      </c>
      <c r="I48" s="17"/>
    </row>
    <row r="49" ht="14.65" customHeight="1">
      <c r="A49" t="s" s="18">
        <v>92</v>
      </c>
      <c r="B49" s="19">
        <v>45703</v>
      </c>
      <c r="C49" t="s" s="20">
        <v>16</v>
      </c>
      <c r="D49" t="s" s="20">
        <v>63</v>
      </c>
      <c r="E49" t="s" s="20">
        <v>65</v>
      </c>
      <c r="F49" s="21">
        <v>46</v>
      </c>
      <c r="G49" s="22">
        <v>79.83</v>
      </c>
      <c r="H49" t="s" s="23">
        <v>24</v>
      </c>
      <c r="I49" s="17"/>
    </row>
    <row r="50" ht="14.65" customHeight="1">
      <c r="A50" t="s" s="11">
        <v>93</v>
      </c>
      <c r="B50" s="12">
        <v>45705</v>
      </c>
      <c r="C50" t="s" s="13">
        <v>30</v>
      </c>
      <c r="D50" t="s" s="13">
        <v>31</v>
      </c>
      <c r="E50" t="s" s="13">
        <v>32</v>
      </c>
      <c r="F50" s="14">
        <v>27</v>
      </c>
      <c r="G50" s="15">
        <v>29.19</v>
      </c>
      <c r="H50" t="s" s="16">
        <v>19</v>
      </c>
      <c r="I50" s="17"/>
    </row>
    <row r="51" ht="14.65" customHeight="1">
      <c r="A51" t="s" s="18">
        <v>94</v>
      </c>
      <c r="B51" s="19">
        <v>45705</v>
      </c>
      <c r="C51" t="s" s="20">
        <v>26</v>
      </c>
      <c r="D51" t="s" s="20">
        <v>38</v>
      </c>
      <c r="E51" t="s" s="20">
        <v>39</v>
      </c>
      <c r="F51" s="21">
        <v>50</v>
      </c>
      <c r="G51" s="22">
        <v>85.26000000000001</v>
      </c>
      <c r="H51" t="s" s="23">
        <v>19</v>
      </c>
      <c r="I51" s="17"/>
    </row>
    <row r="52" ht="14.65" customHeight="1">
      <c r="A52" t="s" s="11">
        <v>95</v>
      </c>
      <c r="B52" s="12">
        <v>45705</v>
      </c>
      <c r="C52" t="s" s="13">
        <v>26</v>
      </c>
      <c r="D52" t="s" s="13">
        <v>45</v>
      </c>
      <c r="E52" t="s" s="13">
        <v>43</v>
      </c>
      <c r="F52" s="14">
        <v>12</v>
      </c>
      <c r="G52" s="15">
        <v>18.34</v>
      </c>
      <c r="H52" t="s" s="16">
        <v>19</v>
      </c>
      <c r="I52" s="17"/>
    </row>
    <row r="53" ht="14.65" customHeight="1">
      <c r="A53" t="s" s="18">
        <v>96</v>
      </c>
      <c r="B53" s="19">
        <v>45706</v>
      </c>
      <c r="C53" t="s" s="20">
        <v>26</v>
      </c>
      <c r="D53" t="s" s="20">
        <v>45</v>
      </c>
      <c r="E53" t="s" s="20">
        <v>43</v>
      </c>
      <c r="F53" s="21">
        <v>38</v>
      </c>
      <c r="G53" s="22">
        <v>54.93</v>
      </c>
      <c r="H53" t="s" s="23">
        <v>19</v>
      </c>
      <c r="I53" s="17"/>
    </row>
    <row r="54" ht="14.65" customHeight="1">
      <c r="A54" t="s" s="11">
        <v>97</v>
      </c>
      <c r="B54" s="12">
        <v>45707</v>
      </c>
      <c r="C54" t="s" s="13">
        <v>16</v>
      </c>
      <c r="D54" t="s" s="13">
        <v>17</v>
      </c>
      <c r="E54" t="s" s="13">
        <v>18</v>
      </c>
      <c r="F54" s="14">
        <v>9</v>
      </c>
      <c r="G54" s="15">
        <v>14.44</v>
      </c>
      <c r="H54" t="s" s="16">
        <v>19</v>
      </c>
      <c r="I54" s="17"/>
    </row>
    <row r="55" ht="14.65" customHeight="1">
      <c r="A55" t="s" s="18">
        <v>98</v>
      </c>
      <c r="B55" s="19">
        <v>45707</v>
      </c>
      <c r="C55" t="s" s="20">
        <v>30</v>
      </c>
      <c r="D55" t="s" s="20">
        <v>42</v>
      </c>
      <c r="E55" t="s" s="20">
        <v>32</v>
      </c>
      <c r="F55" s="21">
        <v>19</v>
      </c>
      <c r="G55" s="22">
        <v>22.54</v>
      </c>
      <c r="H55" t="s" s="23">
        <v>19</v>
      </c>
      <c r="I55" s="17"/>
    </row>
    <row r="56" ht="14.65" customHeight="1">
      <c r="A56" t="s" s="11">
        <v>99</v>
      </c>
      <c r="B56" s="12">
        <v>45709</v>
      </c>
      <c r="C56" t="s" s="13">
        <v>30</v>
      </c>
      <c r="D56" t="s" s="13">
        <v>42</v>
      </c>
      <c r="E56" t="s" s="13">
        <v>43</v>
      </c>
      <c r="F56" s="14">
        <v>16</v>
      </c>
      <c r="G56" s="15">
        <v>17.91</v>
      </c>
      <c r="H56" t="s" s="16">
        <v>19</v>
      </c>
      <c r="I56" s="17"/>
    </row>
    <row r="57" ht="14.65" customHeight="1">
      <c r="A57" t="s" s="18">
        <v>100</v>
      </c>
      <c r="B57" s="19">
        <v>45709</v>
      </c>
      <c r="C57" t="s" s="20">
        <v>26</v>
      </c>
      <c r="D57" t="s" s="20">
        <v>27</v>
      </c>
      <c r="E57" t="s" s="20">
        <v>39</v>
      </c>
      <c r="F57" s="21">
        <v>54</v>
      </c>
      <c r="G57" s="22">
        <v>73</v>
      </c>
      <c r="H57" t="s" s="23">
        <v>24</v>
      </c>
      <c r="I57" s="17"/>
    </row>
    <row r="58" ht="14.65" customHeight="1">
      <c r="A58" t="s" s="11">
        <v>101</v>
      </c>
      <c r="B58" s="12">
        <v>45710</v>
      </c>
      <c r="C58" t="s" s="13">
        <v>26</v>
      </c>
      <c r="D58" t="s" s="13">
        <v>27</v>
      </c>
      <c r="E58" t="s" s="13">
        <v>39</v>
      </c>
      <c r="F58" s="14">
        <v>58</v>
      </c>
      <c r="G58" s="15">
        <v>98.44</v>
      </c>
      <c r="H58" t="s" s="16">
        <v>24</v>
      </c>
      <c r="I58" s="17"/>
    </row>
    <row r="59" ht="14.65" customHeight="1">
      <c r="A59" t="s" s="18">
        <v>102</v>
      </c>
      <c r="B59" s="19">
        <v>45710</v>
      </c>
      <c r="C59" t="s" s="20">
        <v>16</v>
      </c>
      <c r="D59" t="s" s="20">
        <v>63</v>
      </c>
      <c r="E59" t="s" s="20">
        <v>18</v>
      </c>
      <c r="F59" s="21">
        <v>11</v>
      </c>
      <c r="G59" s="22">
        <v>16.21</v>
      </c>
      <c r="H59" t="s" s="23">
        <v>19</v>
      </c>
      <c r="I59" s="17"/>
    </row>
    <row r="60" ht="14.65" customHeight="1">
      <c r="A60" t="s" s="11">
        <v>103</v>
      </c>
      <c r="B60" s="12">
        <v>45714</v>
      </c>
      <c r="C60" t="s" s="13">
        <v>21</v>
      </c>
      <c r="D60" t="s" s="13">
        <v>22</v>
      </c>
      <c r="E60" t="s" s="13">
        <v>52</v>
      </c>
      <c r="F60" s="14">
        <v>27</v>
      </c>
      <c r="G60" s="15">
        <v>30.71</v>
      </c>
      <c r="H60" t="s" s="16">
        <v>19</v>
      </c>
      <c r="I60" s="17"/>
    </row>
    <row r="61" ht="14.65" customHeight="1">
      <c r="A61" t="s" s="18">
        <v>104</v>
      </c>
      <c r="B61" s="19">
        <v>45715</v>
      </c>
      <c r="C61" t="s" s="20">
        <v>26</v>
      </c>
      <c r="D61" t="s" s="20">
        <v>27</v>
      </c>
      <c r="E61" t="s" s="20">
        <v>39</v>
      </c>
      <c r="F61" s="21">
        <v>22</v>
      </c>
      <c r="G61" s="22">
        <v>29.82</v>
      </c>
      <c r="H61" t="s" s="23">
        <v>19</v>
      </c>
      <c r="I61" s="17"/>
    </row>
    <row r="62" ht="14.65" customHeight="1">
      <c r="A62" t="s" s="11">
        <v>105</v>
      </c>
      <c r="B62" s="12">
        <v>45715</v>
      </c>
      <c r="C62" t="s" s="13">
        <v>34</v>
      </c>
      <c r="D62" t="s" s="13">
        <v>47</v>
      </c>
      <c r="E62" t="s" s="13">
        <v>36</v>
      </c>
      <c r="F62" s="14">
        <v>87</v>
      </c>
      <c r="G62" s="15">
        <v>170.93</v>
      </c>
      <c r="H62" t="s" s="16">
        <v>24</v>
      </c>
      <c r="I62" s="17"/>
    </row>
    <row r="63" ht="14.65" customHeight="1">
      <c r="A63" t="s" s="18">
        <v>106</v>
      </c>
      <c r="B63" s="19">
        <v>45716</v>
      </c>
      <c r="C63" t="s" s="20">
        <v>30</v>
      </c>
      <c r="D63" t="s" s="20">
        <v>42</v>
      </c>
      <c r="E63" t="s" s="20">
        <v>32</v>
      </c>
      <c r="F63" s="21">
        <v>25</v>
      </c>
      <c r="G63" s="22">
        <v>32.07</v>
      </c>
      <c r="H63" t="s" s="23">
        <v>19</v>
      </c>
      <c r="I63" s="17"/>
    </row>
    <row r="64" ht="14.65" customHeight="1">
      <c r="A64" t="s" s="11">
        <v>107</v>
      </c>
      <c r="B64" s="12">
        <v>45718</v>
      </c>
      <c r="C64" t="s" s="13">
        <v>16</v>
      </c>
      <c r="D64" t="s" s="13">
        <v>17</v>
      </c>
      <c r="E64" t="s" s="13">
        <v>36</v>
      </c>
      <c r="F64" s="14">
        <v>24</v>
      </c>
      <c r="G64" s="15">
        <v>38.37</v>
      </c>
      <c r="H64" t="s" s="16">
        <v>19</v>
      </c>
      <c r="I64" s="17"/>
    </row>
    <row r="65" ht="14.65" customHeight="1">
      <c r="A65" t="s" s="18">
        <v>108</v>
      </c>
      <c r="B65" s="19">
        <v>45720</v>
      </c>
      <c r="C65" t="s" s="20">
        <v>30</v>
      </c>
      <c r="D65" t="s" s="20">
        <v>31</v>
      </c>
      <c r="E65" t="s" s="20">
        <v>43</v>
      </c>
      <c r="F65" s="21">
        <v>12</v>
      </c>
      <c r="G65" s="22">
        <v>14.1</v>
      </c>
      <c r="H65" t="s" s="23">
        <v>19</v>
      </c>
      <c r="I65" s="17"/>
    </row>
    <row r="66" ht="14.65" customHeight="1">
      <c r="A66" t="s" s="11">
        <v>109</v>
      </c>
      <c r="B66" s="12">
        <v>45720</v>
      </c>
      <c r="C66" t="s" s="13">
        <v>26</v>
      </c>
      <c r="D66" t="s" s="13">
        <v>38</v>
      </c>
      <c r="E66" t="s" s="13">
        <v>28</v>
      </c>
      <c r="F66" s="14">
        <v>34</v>
      </c>
      <c r="G66" s="15">
        <v>47.13</v>
      </c>
      <c r="H66" t="s" s="16">
        <v>19</v>
      </c>
      <c r="I66" s="17"/>
    </row>
    <row r="67" ht="14.65" customHeight="1">
      <c r="A67" t="s" s="18">
        <v>110</v>
      </c>
      <c r="B67" s="19">
        <v>45721</v>
      </c>
      <c r="C67" t="s" s="20">
        <v>21</v>
      </c>
      <c r="D67" t="s" s="20">
        <v>22</v>
      </c>
      <c r="E67" t="s" s="20">
        <v>32</v>
      </c>
      <c r="F67" s="21">
        <v>6</v>
      </c>
      <c r="G67" s="22">
        <v>6.96</v>
      </c>
      <c r="H67" t="s" s="23">
        <v>19</v>
      </c>
      <c r="I67" s="17"/>
    </row>
    <row r="68" ht="14.65" customHeight="1">
      <c r="A68" t="s" s="11">
        <v>111</v>
      </c>
      <c r="B68" s="12">
        <v>45722</v>
      </c>
      <c r="C68" t="s" s="13">
        <v>30</v>
      </c>
      <c r="D68" t="s" s="13">
        <v>42</v>
      </c>
      <c r="E68" t="s" s="13">
        <v>43</v>
      </c>
      <c r="F68" s="14">
        <v>27</v>
      </c>
      <c r="G68" s="15">
        <v>36.84</v>
      </c>
      <c r="H68" t="s" s="16">
        <v>19</v>
      </c>
      <c r="I68" s="17"/>
    </row>
    <row r="69" ht="14.65" customHeight="1">
      <c r="A69" t="s" s="18">
        <v>112</v>
      </c>
      <c r="B69" s="19">
        <v>45722</v>
      </c>
      <c r="C69" t="s" s="20">
        <v>16</v>
      </c>
      <c r="D69" t="s" s="20">
        <v>63</v>
      </c>
      <c r="E69" t="s" s="20">
        <v>65</v>
      </c>
      <c r="F69" s="21">
        <v>29</v>
      </c>
      <c r="G69" s="22">
        <v>42.5</v>
      </c>
      <c r="H69" t="s" s="23">
        <v>19</v>
      </c>
      <c r="I69" s="17"/>
    </row>
    <row r="70" ht="14.65" customHeight="1">
      <c r="A70" t="s" s="11">
        <v>113</v>
      </c>
      <c r="B70" s="12">
        <v>45722</v>
      </c>
      <c r="C70" t="s" s="13">
        <v>26</v>
      </c>
      <c r="D70" t="s" s="13">
        <v>27</v>
      </c>
      <c r="E70" t="s" s="13">
        <v>43</v>
      </c>
      <c r="F70" s="14">
        <v>23</v>
      </c>
      <c r="G70" s="15">
        <v>39.63</v>
      </c>
      <c r="H70" t="s" s="16">
        <v>19</v>
      </c>
      <c r="I70" s="17"/>
    </row>
    <row r="71" ht="14.65" customHeight="1">
      <c r="A71" t="s" s="18">
        <v>114</v>
      </c>
      <c r="B71" s="19">
        <v>45723</v>
      </c>
      <c r="C71" t="s" s="20">
        <v>16</v>
      </c>
      <c r="D71" t="s" s="20">
        <v>63</v>
      </c>
      <c r="E71" t="s" s="20">
        <v>18</v>
      </c>
      <c r="F71" s="21">
        <v>14</v>
      </c>
      <c r="G71" s="22">
        <v>25.56</v>
      </c>
      <c r="H71" t="s" s="23">
        <v>19</v>
      </c>
      <c r="I71" s="17"/>
    </row>
    <row r="72" ht="14.65" customHeight="1">
      <c r="A72" t="s" s="11">
        <v>115</v>
      </c>
      <c r="B72" s="12">
        <v>45723</v>
      </c>
      <c r="C72" t="s" s="13">
        <v>21</v>
      </c>
      <c r="D72" t="s" s="13">
        <v>22</v>
      </c>
      <c r="E72" t="s" s="13">
        <v>23</v>
      </c>
      <c r="F72" s="14">
        <v>22</v>
      </c>
      <c r="G72" s="15">
        <v>27.46</v>
      </c>
      <c r="H72" t="s" s="16">
        <v>19</v>
      </c>
      <c r="I72" s="17"/>
    </row>
    <row r="73" ht="14.65" customHeight="1">
      <c r="A73" t="s" s="18">
        <v>116</v>
      </c>
      <c r="B73" s="19">
        <v>45724</v>
      </c>
      <c r="C73" t="s" s="20">
        <v>30</v>
      </c>
      <c r="D73" t="s" s="20">
        <v>31</v>
      </c>
      <c r="E73" t="s" s="20">
        <v>32</v>
      </c>
      <c r="F73" s="21">
        <v>24</v>
      </c>
      <c r="G73" s="22">
        <v>29</v>
      </c>
      <c r="H73" t="s" s="23">
        <v>19</v>
      </c>
      <c r="I73" s="17"/>
    </row>
    <row r="74" ht="14.65" customHeight="1">
      <c r="A74" t="s" s="11">
        <v>117</v>
      </c>
      <c r="B74" s="12">
        <v>45724</v>
      </c>
      <c r="C74" t="s" s="13">
        <v>30</v>
      </c>
      <c r="D74" t="s" s="13">
        <v>42</v>
      </c>
      <c r="E74" t="s" s="13">
        <v>32</v>
      </c>
      <c r="F74" s="14">
        <v>25</v>
      </c>
      <c r="G74" s="15">
        <v>31.96</v>
      </c>
      <c r="H74" t="s" s="16">
        <v>19</v>
      </c>
      <c r="I74" s="17"/>
    </row>
    <row r="75" ht="14.65" customHeight="1">
      <c r="A75" t="s" s="18">
        <v>118</v>
      </c>
      <c r="B75" s="19">
        <v>45725</v>
      </c>
      <c r="C75" t="s" s="20">
        <v>16</v>
      </c>
      <c r="D75" t="s" s="20">
        <v>17</v>
      </c>
      <c r="E75" t="s" s="20">
        <v>36</v>
      </c>
      <c r="F75" s="21">
        <v>35</v>
      </c>
      <c r="G75" s="22">
        <v>53.07</v>
      </c>
      <c r="H75" t="s" s="23">
        <v>19</v>
      </c>
      <c r="I75" s="17"/>
    </row>
    <row r="76" ht="14.65" customHeight="1">
      <c r="A76" t="s" s="11">
        <v>119</v>
      </c>
      <c r="B76" s="12">
        <v>45725</v>
      </c>
      <c r="C76" t="s" s="13">
        <v>21</v>
      </c>
      <c r="D76" t="s" s="13">
        <v>22</v>
      </c>
      <c r="E76" t="s" s="13">
        <v>52</v>
      </c>
      <c r="F76" s="14">
        <v>21</v>
      </c>
      <c r="G76" s="15">
        <v>23.59</v>
      </c>
      <c r="H76" t="s" s="16">
        <v>19</v>
      </c>
      <c r="I76" s="17"/>
    </row>
    <row r="77" ht="14.65" customHeight="1">
      <c r="A77" t="s" s="18">
        <v>120</v>
      </c>
      <c r="B77" s="19">
        <v>45725</v>
      </c>
      <c r="C77" t="s" s="20">
        <v>30</v>
      </c>
      <c r="D77" t="s" s="20">
        <v>31</v>
      </c>
      <c r="E77" t="s" s="20">
        <v>43</v>
      </c>
      <c r="F77" s="21">
        <v>19</v>
      </c>
      <c r="G77" s="22">
        <v>20.85</v>
      </c>
      <c r="H77" t="s" s="23">
        <v>19</v>
      </c>
      <c r="I77" s="17"/>
    </row>
    <row r="78" ht="14.65" customHeight="1">
      <c r="A78" t="s" s="11">
        <v>121</v>
      </c>
      <c r="B78" s="12">
        <v>45726</v>
      </c>
      <c r="C78" t="s" s="13">
        <v>16</v>
      </c>
      <c r="D78" t="s" s="13">
        <v>17</v>
      </c>
      <c r="E78" t="s" s="13">
        <v>36</v>
      </c>
      <c r="F78" s="14">
        <v>45</v>
      </c>
      <c r="G78" s="15">
        <v>68.01000000000001</v>
      </c>
      <c r="H78" t="s" s="16">
        <v>19</v>
      </c>
      <c r="I78" s="17"/>
    </row>
    <row r="79" ht="14.65" customHeight="1">
      <c r="A79" t="s" s="18">
        <v>122</v>
      </c>
      <c r="B79" s="19">
        <v>45729</v>
      </c>
      <c r="C79" t="s" s="20">
        <v>26</v>
      </c>
      <c r="D79" t="s" s="20">
        <v>45</v>
      </c>
      <c r="E79" t="s" s="20">
        <v>28</v>
      </c>
      <c r="F79" s="21">
        <v>35</v>
      </c>
      <c r="G79" s="22">
        <v>51.99</v>
      </c>
      <c r="H79" t="s" s="23">
        <v>19</v>
      </c>
      <c r="I79" s="17"/>
    </row>
    <row r="80" ht="14.65" customHeight="1">
      <c r="A80" t="s" s="11">
        <v>123</v>
      </c>
      <c r="B80" s="12">
        <v>45729</v>
      </c>
      <c r="C80" t="s" s="13">
        <v>26</v>
      </c>
      <c r="D80" t="s" s="13">
        <v>27</v>
      </c>
      <c r="E80" t="s" s="13">
        <v>39</v>
      </c>
      <c r="F80" s="14">
        <v>34</v>
      </c>
      <c r="G80" s="15">
        <v>47.97</v>
      </c>
      <c r="H80" t="s" s="16">
        <v>19</v>
      </c>
      <c r="I80" s="17"/>
    </row>
    <row r="81" ht="14.65" customHeight="1">
      <c r="A81" t="s" s="18">
        <v>124</v>
      </c>
      <c r="B81" s="19">
        <v>45729</v>
      </c>
      <c r="C81" t="s" s="20">
        <v>30</v>
      </c>
      <c r="D81" t="s" s="20">
        <v>42</v>
      </c>
      <c r="E81" t="s" s="20">
        <v>32</v>
      </c>
      <c r="F81" s="21">
        <v>34</v>
      </c>
      <c r="G81" s="22">
        <v>39.38</v>
      </c>
      <c r="H81" t="s" s="23">
        <v>19</v>
      </c>
      <c r="I81" s="17"/>
    </row>
    <row r="82" ht="14.65" customHeight="1">
      <c r="A82" t="s" s="11">
        <v>125</v>
      </c>
      <c r="B82" s="12">
        <v>45731</v>
      </c>
      <c r="C82" t="s" s="13">
        <v>26</v>
      </c>
      <c r="D82" t="s" s="13">
        <v>27</v>
      </c>
      <c r="E82" t="s" s="13">
        <v>28</v>
      </c>
      <c r="F82" s="14">
        <v>32</v>
      </c>
      <c r="G82" s="15">
        <v>44.1</v>
      </c>
      <c r="H82" t="s" s="16">
        <v>19</v>
      </c>
      <c r="I82" s="17"/>
    </row>
    <row r="83" ht="14.65" customHeight="1">
      <c r="A83" t="s" s="18">
        <v>126</v>
      </c>
      <c r="B83" s="19">
        <v>45731</v>
      </c>
      <c r="C83" t="s" s="20">
        <v>26</v>
      </c>
      <c r="D83" t="s" s="20">
        <v>27</v>
      </c>
      <c r="E83" t="s" s="20">
        <v>39</v>
      </c>
      <c r="F83" s="21">
        <v>23</v>
      </c>
      <c r="G83" s="22">
        <v>35.36</v>
      </c>
      <c r="H83" t="s" s="23">
        <v>19</v>
      </c>
      <c r="I83" s="17"/>
    </row>
    <row r="84" ht="14.65" customHeight="1">
      <c r="A84" t="s" s="11">
        <v>127</v>
      </c>
      <c r="B84" s="12">
        <v>45732</v>
      </c>
      <c r="C84" t="s" s="13">
        <v>26</v>
      </c>
      <c r="D84" t="s" s="13">
        <v>38</v>
      </c>
      <c r="E84" t="s" s="13">
        <v>43</v>
      </c>
      <c r="F84" s="14">
        <v>49</v>
      </c>
      <c r="G84" s="15">
        <v>67.53</v>
      </c>
      <c r="H84" t="s" s="16">
        <v>19</v>
      </c>
      <c r="I84" s="17"/>
    </row>
    <row r="85" ht="14.65" customHeight="1">
      <c r="A85" t="s" s="18">
        <v>128</v>
      </c>
      <c r="B85" s="19">
        <v>45733</v>
      </c>
      <c r="C85" t="s" s="20">
        <v>16</v>
      </c>
      <c r="D85" t="s" s="20">
        <v>63</v>
      </c>
      <c r="E85" t="s" s="20">
        <v>36</v>
      </c>
      <c r="F85" s="21">
        <v>31</v>
      </c>
      <c r="G85" s="22">
        <v>54.61</v>
      </c>
      <c r="H85" t="s" s="23">
        <v>19</v>
      </c>
      <c r="I85" s="17"/>
    </row>
    <row r="86" ht="14.65" customHeight="1">
      <c r="A86" t="s" s="11">
        <v>129</v>
      </c>
      <c r="B86" s="12">
        <v>45736</v>
      </c>
      <c r="C86" t="s" s="13">
        <v>30</v>
      </c>
      <c r="D86" t="s" s="13">
        <v>31</v>
      </c>
      <c r="E86" t="s" s="13">
        <v>43</v>
      </c>
      <c r="F86" s="14">
        <v>26</v>
      </c>
      <c r="G86" s="15">
        <v>28.58</v>
      </c>
      <c r="H86" t="s" s="16">
        <v>19</v>
      </c>
      <c r="I86" s="17"/>
    </row>
    <row r="87" ht="14.65" customHeight="1">
      <c r="A87" t="s" s="18">
        <v>130</v>
      </c>
      <c r="B87" s="19">
        <v>45736</v>
      </c>
      <c r="C87" t="s" s="20">
        <v>16</v>
      </c>
      <c r="D87" t="s" s="20">
        <v>17</v>
      </c>
      <c r="E87" t="s" s="20">
        <v>36</v>
      </c>
      <c r="F87" s="21">
        <v>34</v>
      </c>
      <c r="G87" s="22">
        <v>54.83</v>
      </c>
      <c r="H87" t="s" s="23">
        <v>19</v>
      </c>
      <c r="I87" s="17"/>
    </row>
    <row r="88" ht="14.65" customHeight="1">
      <c r="A88" t="s" s="11">
        <v>131</v>
      </c>
      <c r="B88" s="12">
        <v>45737</v>
      </c>
      <c r="C88" t="s" s="13">
        <v>26</v>
      </c>
      <c r="D88" t="s" s="13">
        <v>27</v>
      </c>
      <c r="E88" t="s" s="13">
        <v>28</v>
      </c>
      <c r="F88" s="14">
        <v>64</v>
      </c>
      <c r="G88" s="15">
        <v>103.62</v>
      </c>
      <c r="H88" t="s" s="16">
        <v>24</v>
      </c>
      <c r="I88" s="17"/>
    </row>
    <row r="89" ht="14.65" customHeight="1">
      <c r="A89" t="s" s="18">
        <v>132</v>
      </c>
      <c r="B89" s="19">
        <v>45737</v>
      </c>
      <c r="C89" t="s" s="20">
        <v>21</v>
      </c>
      <c r="D89" t="s" s="20">
        <v>51</v>
      </c>
      <c r="E89" t="s" s="20">
        <v>23</v>
      </c>
      <c r="F89" s="21">
        <v>6</v>
      </c>
      <c r="G89" s="22">
        <v>6.4</v>
      </c>
      <c r="H89" t="s" s="23">
        <v>19</v>
      </c>
      <c r="I89" s="17"/>
    </row>
    <row r="90" ht="14.65" customHeight="1">
      <c r="A90" t="s" s="11">
        <v>133</v>
      </c>
      <c r="B90" s="12">
        <v>45739</v>
      </c>
      <c r="C90" t="s" s="13">
        <v>16</v>
      </c>
      <c r="D90" t="s" s="13">
        <v>17</v>
      </c>
      <c r="E90" t="s" s="13">
        <v>18</v>
      </c>
      <c r="F90" s="14">
        <v>29</v>
      </c>
      <c r="G90" s="15">
        <v>49.16</v>
      </c>
      <c r="H90" t="s" s="16">
        <v>19</v>
      </c>
      <c r="I90" s="17"/>
    </row>
    <row r="91" ht="14.65" customHeight="1">
      <c r="A91" t="s" s="18">
        <v>134</v>
      </c>
      <c r="B91" s="19">
        <v>45740</v>
      </c>
      <c r="C91" t="s" s="20">
        <v>26</v>
      </c>
      <c r="D91" t="s" s="20">
        <v>27</v>
      </c>
      <c r="E91" t="s" s="20">
        <v>28</v>
      </c>
      <c r="F91" s="21">
        <v>38</v>
      </c>
      <c r="G91" s="22">
        <v>64.27</v>
      </c>
      <c r="H91" t="s" s="23">
        <v>19</v>
      </c>
      <c r="I91" s="17"/>
    </row>
    <row r="92" ht="14.65" customHeight="1">
      <c r="A92" t="s" s="11">
        <v>135</v>
      </c>
      <c r="B92" s="12">
        <v>45741</v>
      </c>
      <c r="C92" t="s" s="13">
        <v>26</v>
      </c>
      <c r="D92" t="s" s="13">
        <v>38</v>
      </c>
      <c r="E92" t="s" s="13">
        <v>43</v>
      </c>
      <c r="F92" s="14">
        <v>46</v>
      </c>
      <c r="G92" s="15">
        <v>66.70999999999999</v>
      </c>
      <c r="H92" t="s" s="16">
        <v>19</v>
      </c>
      <c r="I92" s="17"/>
    </row>
    <row r="93" ht="14.65" customHeight="1">
      <c r="A93" t="s" s="18">
        <v>136</v>
      </c>
      <c r="B93" s="19">
        <v>45741</v>
      </c>
      <c r="C93" t="s" s="20">
        <v>21</v>
      </c>
      <c r="D93" t="s" s="20">
        <v>51</v>
      </c>
      <c r="E93" t="s" s="20">
        <v>52</v>
      </c>
      <c r="F93" s="21">
        <v>12</v>
      </c>
      <c r="G93" s="22">
        <v>11.96</v>
      </c>
      <c r="H93" t="s" s="23">
        <v>19</v>
      </c>
      <c r="I93" s="17"/>
    </row>
    <row r="94" ht="14.65" customHeight="1">
      <c r="A94" t="s" s="11">
        <v>137</v>
      </c>
      <c r="B94" s="12">
        <v>45742</v>
      </c>
      <c r="C94" t="s" s="13">
        <v>16</v>
      </c>
      <c r="D94" t="s" s="13">
        <v>63</v>
      </c>
      <c r="E94" t="s" s="13">
        <v>18</v>
      </c>
      <c r="F94" s="14">
        <v>17</v>
      </c>
      <c r="G94" s="15">
        <v>31.07</v>
      </c>
      <c r="H94" t="s" s="16">
        <v>19</v>
      </c>
      <c r="I94" s="17"/>
    </row>
    <row r="95" ht="14.65" customHeight="1">
      <c r="A95" t="s" s="18">
        <v>138</v>
      </c>
      <c r="B95" s="19">
        <v>45747</v>
      </c>
      <c r="C95" t="s" s="20">
        <v>34</v>
      </c>
      <c r="D95" t="s" s="20">
        <v>35</v>
      </c>
      <c r="E95" t="s" s="20">
        <v>36</v>
      </c>
      <c r="F95" s="21">
        <v>20</v>
      </c>
      <c r="G95" s="22">
        <v>35.59</v>
      </c>
      <c r="H95" t="s" s="23">
        <v>19</v>
      </c>
      <c r="I95" s="17"/>
    </row>
    <row r="96" ht="14.65" customHeight="1">
      <c r="A96" t="s" s="11">
        <v>139</v>
      </c>
      <c r="B96" s="12">
        <v>45750</v>
      </c>
      <c r="C96" t="s" s="13">
        <v>26</v>
      </c>
      <c r="D96" t="s" s="13">
        <v>45</v>
      </c>
      <c r="E96" t="s" s="13">
        <v>39</v>
      </c>
      <c r="F96" s="14">
        <v>24</v>
      </c>
      <c r="G96" s="15">
        <v>35.56</v>
      </c>
      <c r="H96" t="s" s="16">
        <v>19</v>
      </c>
      <c r="I96" s="17"/>
    </row>
    <row r="97" ht="14.65" customHeight="1">
      <c r="A97" t="s" s="18">
        <v>140</v>
      </c>
      <c r="B97" s="19">
        <v>45750</v>
      </c>
      <c r="C97" t="s" s="20">
        <v>21</v>
      </c>
      <c r="D97" t="s" s="20">
        <v>22</v>
      </c>
      <c r="E97" t="s" s="20">
        <v>32</v>
      </c>
      <c r="F97" s="21">
        <v>27</v>
      </c>
      <c r="G97" s="22">
        <v>26.96</v>
      </c>
      <c r="H97" t="s" s="23">
        <v>19</v>
      </c>
      <c r="I97" s="17"/>
    </row>
    <row r="98" ht="14.65" customHeight="1">
      <c r="A98" t="s" s="11">
        <v>141</v>
      </c>
      <c r="B98" s="12">
        <v>45751</v>
      </c>
      <c r="C98" t="s" s="13">
        <v>26</v>
      </c>
      <c r="D98" t="s" s="13">
        <v>38</v>
      </c>
      <c r="E98" t="s" s="13">
        <v>28</v>
      </c>
      <c r="F98" s="14">
        <v>9</v>
      </c>
      <c r="G98" s="15">
        <v>14.01</v>
      </c>
      <c r="H98" t="s" s="16">
        <v>19</v>
      </c>
      <c r="I98" s="17"/>
    </row>
    <row r="99" ht="14.65" customHeight="1">
      <c r="A99" t="s" s="18">
        <v>142</v>
      </c>
      <c r="B99" s="19">
        <v>45761</v>
      </c>
      <c r="C99" t="s" s="20">
        <v>34</v>
      </c>
      <c r="D99" t="s" s="20">
        <v>35</v>
      </c>
      <c r="E99" t="s" s="20">
        <v>48</v>
      </c>
      <c r="F99" s="21">
        <v>39</v>
      </c>
      <c r="G99" s="22">
        <v>70.17</v>
      </c>
      <c r="H99" t="s" s="23">
        <v>19</v>
      </c>
      <c r="I99" s="17"/>
    </row>
    <row r="100" ht="14.65" customHeight="1">
      <c r="A100" t="s" s="11">
        <v>143</v>
      </c>
      <c r="B100" s="12">
        <v>45762</v>
      </c>
      <c r="C100" t="s" s="13">
        <v>16</v>
      </c>
      <c r="D100" t="s" s="13">
        <v>17</v>
      </c>
      <c r="E100" t="s" s="13">
        <v>65</v>
      </c>
      <c r="F100" s="14">
        <v>5</v>
      </c>
      <c r="G100" s="15">
        <v>8.890000000000001</v>
      </c>
      <c r="H100" t="s" s="16">
        <v>19</v>
      </c>
      <c r="I100" s="17"/>
    </row>
    <row r="101" ht="14.65" customHeight="1">
      <c r="A101" t="s" s="18">
        <v>144</v>
      </c>
      <c r="B101" s="19">
        <v>45763</v>
      </c>
      <c r="C101" t="s" s="20">
        <v>16</v>
      </c>
      <c r="D101" t="s" s="20">
        <v>17</v>
      </c>
      <c r="E101" t="s" s="20">
        <v>36</v>
      </c>
      <c r="F101" s="21">
        <v>40</v>
      </c>
      <c r="G101" s="22">
        <v>58.49</v>
      </c>
      <c r="H101" t="s" s="23">
        <v>19</v>
      </c>
      <c r="I101" s="17"/>
    </row>
    <row r="102" ht="14.65" customHeight="1">
      <c r="A102" t="s" s="11">
        <v>145</v>
      </c>
      <c r="B102" s="12">
        <v>45764</v>
      </c>
      <c r="C102" t="s" s="13">
        <v>30</v>
      </c>
      <c r="D102" t="s" s="13">
        <v>31</v>
      </c>
      <c r="E102" t="s" s="13">
        <v>43</v>
      </c>
      <c r="F102" s="14">
        <v>16</v>
      </c>
      <c r="G102" s="15">
        <v>17.67</v>
      </c>
      <c r="H102" t="s" s="16">
        <v>19</v>
      </c>
      <c r="I102" s="17"/>
    </row>
    <row r="103" ht="14.65" customHeight="1">
      <c r="A103" t="s" s="18">
        <v>146</v>
      </c>
      <c r="B103" s="19">
        <v>45766</v>
      </c>
      <c r="C103" t="s" s="20">
        <v>30</v>
      </c>
      <c r="D103" t="s" s="20">
        <v>42</v>
      </c>
      <c r="E103" t="s" s="20">
        <v>32</v>
      </c>
      <c r="F103" s="21">
        <v>27</v>
      </c>
      <c r="G103" s="22">
        <v>30.18</v>
      </c>
      <c r="H103" t="s" s="23">
        <v>19</v>
      </c>
      <c r="I103" s="17"/>
    </row>
    <row r="104" ht="14.65" customHeight="1">
      <c r="A104" t="s" s="11">
        <v>147</v>
      </c>
      <c r="B104" s="12">
        <v>45768</v>
      </c>
      <c r="C104" t="s" s="13">
        <v>16</v>
      </c>
      <c r="D104" t="s" s="13">
        <v>63</v>
      </c>
      <c r="E104" t="s" s="13">
        <v>18</v>
      </c>
      <c r="F104" s="14">
        <v>21</v>
      </c>
      <c r="G104" s="15">
        <v>35.94</v>
      </c>
      <c r="H104" t="s" s="16">
        <v>19</v>
      </c>
      <c r="I104" s="17"/>
    </row>
    <row r="105" ht="14.65" customHeight="1">
      <c r="A105" t="s" s="18">
        <v>148</v>
      </c>
      <c r="B105" s="19">
        <v>45768</v>
      </c>
      <c r="C105" t="s" s="20">
        <v>21</v>
      </c>
      <c r="D105" t="s" s="20">
        <v>22</v>
      </c>
      <c r="E105" t="s" s="20">
        <v>32</v>
      </c>
      <c r="F105" s="21">
        <v>8</v>
      </c>
      <c r="G105" s="22">
        <v>9.630000000000001</v>
      </c>
      <c r="H105" t="s" s="23">
        <v>19</v>
      </c>
      <c r="I105" s="17"/>
    </row>
    <row r="106" ht="14.65" customHeight="1">
      <c r="A106" t="s" s="11">
        <v>149</v>
      </c>
      <c r="B106" s="12">
        <v>45769</v>
      </c>
      <c r="C106" t="s" s="13">
        <v>26</v>
      </c>
      <c r="D106" t="s" s="13">
        <v>27</v>
      </c>
      <c r="E106" t="s" s="13">
        <v>28</v>
      </c>
      <c r="F106" s="14">
        <v>14</v>
      </c>
      <c r="G106" s="15">
        <v>22.58</v>
      </c>
      <c r="H106" t="s" s="16">
        <v>19</v>
      </c>
      <c r="I106" s="17"/>
    </row>
    <row r="107" ht="14.65" customHeight="1">
      <c r="A107" t="s" s="18">
        <v>150</v>
      </c>
      <c r="B107" s="19">
        <v>45769</v>
      </c>
      <c r="C107" t="s" s="20">
        <v>16</v>
      </c>
      <c r="D107" t="s" s="20">
        <v>63</v>
      </c>
      <c r="E107" t="s" s="20">
        <v>65</v>
      </c>
      <c r="F107" s="21">
        <v>19</v>
      </c>
      <c r="G107" s="22">
        <v>30.76</v>
      </c>
      <c r="H107" t="s" s="23">
        <v>19</v>
      </c>
      <c r="I107" s="17"/>
    </row>
    <row r="108" ht="14.65" customHeight="1">
      <c r="A108" t="s" s="11">
        <v>151</v>
      </c>
      <c r="B108" s="12">
        <v>45770</v>
      </c>
      <c r="C108" t="s" s="13">
        <v>21</v>
      </c>
      <c r="D108" t="s" s="13">
        <v>51</v>
      </c>
      <c r="E108" t="s" s="13">
        <v>52</v>
      </c>
      <c r="F108" s="14">
        <v>7</v>
      </c>
      <c r="G108" s="15">
        <v>8.59</v>
      </c>
      <c r="H108" t="s" s="16">
        <v>19</v>
      </c>
      <c r="I108" s="17"/>
    </row>
    <row r="109" ht="14.65" customHeight="1">
      <c r="A109" t="s" s="18">
        <v>152</v>
      </c>
      <c r="B109" s="19">
        <v>45771</v>
      </c>
      <c r="C109" t="s" s="20">
        <v>26</v>
      </c>
      <c r="D109" t="s" s="20">
        <v>38</v>
      </c>
      <c r="E109" t="s" s="20">
        <v>28</v>
      </c>
      <c r="F109" s="21">
        <v>28</v>
      </c>
      <c r="G109" s="22">
        <v>43.15</v>
      </c>
      <c r="H109" t="s" s="23">
        <v>19</v>
      </c>
      <c r="I109" s="17"/>
    </row>
    <row r="110" ht="14.65" customHeight="1">
      <c r="A110" t="s" s="11">
        <v>153</v>
      </c>
      <c r="B110" s="12">
        <v>45773</v>
      </c>
      <c r="C110" t="s" s="13">
        <v>26</v>
      </c>
      <c r="D110" t="s" s="13">
        <v>27</v>
      </c>
      <c r="E110" t="s" s="13">
        <v>28</v>
      </c>
      <c r="F110" s="14">
        <v>46</v>
      </c>
      <c r="G110" s="15">
        <v>71.8</v>
      </c>
      <c r="H110" t="s" s="16">
        <v>19</v>
      </c>
      <c r="I110" s="17"/>
    </row>
    <row r="111" ht="14.65" customHeight="1">
      <c r="A111" t="s" s="18">
        <v>154</v>
      </c>
      <c r="B111" s="19">
        <v>45774</v>
      </c>
      <c r="C111" t="s" s="20">
        <v>26</v>
      </c>
      <c r="D111" t="s" s="20">
        <v>27</v>
      </c>
      <c r="E111" t="s" s="20">
        <v>28</v>
      </c>
      <c r="F111" s="21">
        <v>26</v>
      </c>
      <c r="G111" s="22">
        <v>35.78</v>
      </c>
      <c r="H111" t="s" s="23">
        <v>19</v>
      </c>
      <c r="I111" s="17"/>
    </row>
    <row r="112" ht="14.65" customHeight="1">
      <c r="A112" t="s" s="11">
        <v>155</v>
      </c>
      <c r="B112" s="12">
        <v>45774</v>
      </c>
      <c r="C112" t="s" s="13">
        <v>16</v>
      </c>
      <c r="D112" t="s" s="13">
        <v>17</v>
      </c>
      <c r="E112" t="s" s="13">
        <v>36</v>
      </c>
      <c r="F112" s="14">
        <v>37</v>
      </c>
      <c r="G112" s="15">
        <v>64.53</v>
      </c>
      <c r="H112" t="s" s="16">
        <v>19</v>
      </c>
      <c r="I112" s="17"/>
    </row>
    <row r="113" ht="14.65" customHeight="1">
      <c r="A113" t="s" s="18">
        <v>156</v>
      </c>
      <c r="B113" s="19">
        <v>45775</v>
      </c>
      <c r="C113" t="s" s="20">
        <v>26</v>
      </c>
      <c r="D113" t="s" s="20">
        <v>45</v>
      </c>
      <c r="E113" t="s" s="20">
        <v>28</v>
      </c>
      <c r="F113" s="21">
        <v>30</v>
      </c>
      <c r="G113" s="22">
        <v>48.66</v>
      </c>
      <c r="H113" t="s" s="23">
        <v>19</v>
      </c>
      <c r="I113" s="17"/>
    </row>
    <row r="114" ht="14.65" customHeight="1">
      <c r="A114" t="s" s="11">
        <v>157</v>
      </c>
      <c r="B114" s="12">
        <v>45775</v>
      </c>
      <c r="C114" t="s" s="13">
        <v>26</v>
      </c>
      <c r="D114" t="s" s="13">
        <v>38</v>
      </c>
      <c r="E114" t="s" s="13">
        <v>39</v>
      </c>
      <c r="F114" s="14">
        <v>5</v>
      </c>
      <c r="G114" s="15">
        <v>7.38</v>
      </c>
      <c r="H114" t="s" s="16">
        <v>19</v>
      </c>
      <c r="I114" s="17"/>
    </row>
    <row r="115" ht="14.65" customHeight="1">
      <c r="A115" t="s" s="18">
        <v>158</v>
      </c>
      <c r="B115" s="19">
        <v>45775</v>
      </c>
      <c r="C115" t="s" s="20">
        <v>26</v>
      </c>
      <c r="D115" t="s" s="20">
        <v>27</v>
      </c>
      <c r="E115" t="s" s="20">
        <v>43</v>
      </c>
      <c r="F115" s="21">
        <v>31</v>
      </c>
      <c r="G115" s="22">
        <v>42.71</v>
      </c>
      <c r="H115" t="s" s="23">
        <v>19</v>
      </c>
      <c r="I115" s="17"/>
    </row>
    <row r="116" ht="14.65" customHeight="1">
      <c r="A116" t="s" s="11">
        <v>159</v>
      </c>
      <c r="B116" s="12">
        <v>45777</v>
      </c>
      <c r="C116" t="s" s="13">
        <v>21</v>
      </c>
      <c r="D116" t="s" s="13">
        <v>51</v>
      </c>
      <c r="E116" t="s" s="13">
        <v>23</v>
      </c>
      <c r="F116" s="14">
        <v>24</v>
      </c>
      <c r="G116" s="15">
        <v>24.74</v>
      </c>
      <c r="H116" t="s" s="16">
        <v>19</v>
      </c>
      <c r="I116" s="17"/>
    </row>
    <row r="117" ht="14.65" customHeight="1">
      <c r="A117" t="s" s="18">
        <v>160</v>
      </c>
      <c r="B117" s="19">
        <v>45777</v>
      </c>
      <c r="C117" t="s" s="20">
        <v>26</v>
      </c>
      <c r="D117" t="s" s="20">
        <v>38</v>
      </c>
      <c r="E117" t="s" s="20">
        <v>43</v>
      </c>
      <c r="F117" s="21">
        <v>63</v>
      </c>
      <c r="G117" s="22">
        <v>88.47</v>
      </c>
      <c r="H117" t="s" s="23">
        <v>24</v>
      </c>
      <c r="I117" s="17"/>
    </row>
    <row r="118" ht="14.65" customHeight="1">
      <c r="A118" t="s" s="11">
        <v>161</v>
      </c>
      <c r="B118" s="12">
        <v>45778</v>
      </c>
      <c r="C118" t="s" s="13">
        <v>16</v>
      </c>
      <c r="D118" t="s" s="13">
        <v>63</v>
      </c>
      <c r="E118" t="s" s="13">
        <v>36</v>
      </c>
      <c r="F118" s="14">
        <v>26</v>
      </c>
      <c r="G118" s="15">
        <v>38.97</v>
      </c>
      <c r="H118" t="s" s="16">
        <v>19</v>
      </c>
      <c r="I118" s="17"/>
    </row>
    <row r="119" ht="14.65" customHeight="1">
      <c r="A119" t="s" s="18">
        <v>162</v>
      </c>
      <c r="B119" s="19">
        <v>45778</v>
      </c>
      <c r="C119" t="s" s="20">
        <v>30</v>
      </c>
      <c r="D119" t="s" s="20">
        <v>31</v>
      </c>
      <c r="E119" t="s" s="20">
        <v>70</v>
      </c>
      <c r="F119" s="21">
        <v>20</v>
      </c>
      <c r="G119" s="22">
        <v>21.67</v>
      </c>
      <c r="H119" t="s" s="23">
        <v>19</v>
      </c>
      <c r="I119" s="17"/>
    </row>
    <row r="120" ht="14.65" customHeight="1">
      <c r="A120" t="s" s="11">
        <v>163</v>
      </c>
      <c r="B120" s="12">
        <v>45779</v>
      </c>
      <c r="C120" t="s" s="13">
        <v>34</v>
      </c>
      <c r="D120" t="s" s="13">
        <v>47</v>
      </c>
      <c r="E120" t="s" s="13">
        <v>59</v>
      </c>
      <c r="F120" s="14">
        <v>49</v>
      </c>
      <c r="G120" s="15">
        <v>80.67</v>
      </c>
      <c r="H120" t="s" s="16">
        <v>19</v>
      </c>
      <c r="I120" s="17"/>
    </row>
    <row r="121" ht="14.65" customHeight="1">
      <c r="A121" t="s" s="18">
        <v>164</v>
      </c>
      <c r="B121" s="19">
        <v>45779</v>
      </c>
      <c r="C121" t="s" s="20">
        <v>21</v>
      </c>
      <c r="D121" t="s" s="20">
        <v>51</v>
      </c>
      <c r="E121" t="s" s="20">
        <v>23</v>
      </c>
      <c r="F121" s="21">
        <v>18</v>
      </c>
      <c r="G121" s="22">
        <v>17.94</v>
      </c>
      <c r="H121" t="s" s="23">
        <v>19</v>
      </c>
      <c r="I121" s="17"/>
    </row>
    <row r="122" ht="14.65" customHeight="1">
      <c r="A122" t="s" s="11">
        <v>165</v>
      </c>
      <c r="B122" s="12">
        <v>45779</v>
      </c>
      <c r="C122" t="s" s="13">
        <v>26</v>
      </c>
      <c r="D122" t="s" s="13">
        <v>38</v>
      </c>
      <c r="E122" t="s" s="13">
        <v>28</v>
      </c>
      <c r="F122" s="14">
        <v>13</v>
      </c>
      <c r="G122" s="15">
        <v>19.78</v>
      </c>
      <c r="H122" t="s" s="16">
        <v>19</v>
      </c>
      <c r="I122" s="17"/>
    </row>
    <row r="123" ht="14.65" customHeight="1">
      <c r="A123" t="s" s="18">
        <v>166</v>
      </c>
      <c r="B123" s="19">
        <v>45779</v>
      </c>
      <c r="C123" t="s" s="20">
        <v>26</v>
      </c>
      <c r="D123" t="s" s="20">
        <v>38</v>
      </c>
      <c r="E123" t="s" s="20">
        <v>43</v>
      </c>
      <c r="F123" s="21">
        <v>21</v>
      </c>
      <c r="G123" s="22">
        <v>30.52</v>
      </c>
      <c r="H123" t="s" s="23">
        <v>19</v>
      </c>
      <c r="I123" s="17"/>
    </row>
    <row r="124" ht="14.65" customHeight="1">
      <c r="A124" t="s" s="11">
        <v>167</v>
      </c>
      <c r="B124" s="12">
        <v>45780</v>
      </c>
      <c r="C124" t="s" s="13">
        <v>34</v>
      </c>
      <c r="D124" t="s" s="13">
        <v>35</v>
      </c>
      <c r="E124" t="s" s="13">
        <v>48</v>
      </c>
      <c r="F124" s="14">
        <v>65</v>
      </c>
      <c r="G124" s="15">
        <v>122.67</v>
      </c>
      <c r="H124" t="s" s="16">
        <v>19</v>
      </c>
      <c r="I124" s="17"/>
    </row>
    <row r="125" ht="14.65" customHeight="1">
      <c r="A125" t="s" s="18">
        <v>168</v>
      </c>
      <c r="B125" s="19">
        <v>45780</v>
      </c>
      <c r="C125" t="s" s="20">
        <v>30</v>
      </c>
      <c r="D125" t="s" s="20">
        <v>42</v>
      </c>
      <c r="E125" t="s" s="20">
        <v>70</v>
      </c>
      <c r="F125" s="21">
        <v>41</v>
      </c>
      <c r="G125" s="22">
        <v>52.95</v>
      </c>
      <c r="H125" t="s" s="23">
        <v>24</v>
      </c>
      <c r="I125" s="17"/>
    </row>
    <row r="126" ht="14.65" customHeight="1">
      <c r="A126" t="s" s="11">
        <v>169</v>
      </c>
      <c r="B126" s="12">
        <v>45780</v>
      </c>
      <c r="C126" t="s" s="13">
        <v>26</v>
      </c>
      <c r="D126" t="s" s="13">
        <v>45</v>
      </c>
      <c r="E126" t="s" s="13">
        <v>28</v>
      </c>
      <c r="F126" s="14">
        <v>12</v>
      </c>
      <c r="G126" s="15">
        <v>20.63</v>
      </c>
      <c r="H126" t="s" s="16">
        <v>19</v>
      </c>
      <c r="I126" s="17"/>
    </row>
    <row r="127" ht="14.65" customHeight="1">
      <c r="A127" t="s" s="18">
        <v>170</v>
      </c>
      <c r="B127" s="19">
        <v>45780</v>
      </c>
      <c r="C127" t="s" s="20">
        <v>30</v>
      </c>
      <c r="D127" t="s" s="20">
        <v>31</v>
      </c>
      <c r="E127" t="s" s="20">
        <v>70</v>
      </c>
      <c r="F127" s="21">
        <v>10</v>
      </c>
      <c r="G127" s="22">
        <v>12.2</v>
      </c>
      <c r="H127" t="s" s="23">
        <v>19</v>
      </c>
      <c r="I127" s="17"/>
    </row>
    <row r="128" ht="14.65" customHeight="1">
      <c r="A128" t="s" s="11">
        <v>171</v>
      </c>
      <c r="B128" s="12">
        <v>45781</v>
      </c>
      <c r="C128" t="s" s="13">
        <v>30</v>
      </c>
      <c r="D128" t="s" s="13">
        <v>42</v>
      </c>
      <c r="E128" t="s" s="13">
        <v>43</v>
      </c>
      <c r="F128" s="14">
        <v>33</v>
      </c>
      <c r="G128" s="15">
        <v>42.26</v>
      </c>
      <c r="H128" t="s" s="16">
        <v>19</v>
      </c>
      <c r="I128" s="17"/>
    </row>
    <row r="129" ht="14.65" customHeight="1">
      <c r="A129" t="s" s="18">
        <v>172</v>
      </c>
      <c r="B129" s="19">
        <v>45781</v>
      </c>
      <c r="C129" t="s" s="20">
        <v>26</v>
      </c>
      <c r="D129" t="s" s="20">
        <v>45</v>
      </c>
      <c r="E129" t="s" s="20">
        <v>28</v>
      </c>
      <c r="F129" s="21">
        <v>40</v>
      </c>
      <c r="G129" s="22">
        <v>54.76</v>
      </c>
      <c r="H129" t="s" s="23">
        <v>19</v>
      </c>
      <c r="I129" s="17"/>
    </row>
    <row r="130" ht="14.65" customHeight="1">
      <c r="A130" t="s" s="11">
        <v>173</v>
      </c>
      <c r="B130" s="12">
        <v>45785</v>
      </c>
      <c r="C130" t="s" s="13">
        <v>26</v>
      </c>
      <c r="D130" t="s" s="13">
        <v>27</v>
      </c>
      <c r="E130" t="s" s="13">
        <v>39</v>
      </c>
      <c r="F130" s="14">
        <v>42</v>
      </c>
      <c r="G130" s="15">
        <v>58.91</v>
      </c>
      <c r="H130" t="s" s="16">
        <v>19</v>
      </c>
      <c r="I130" s="17"/>
    </row>
    <row r="131" ht="14.65" customHeight="1">
      <c r="A131" t="s" s="18">
        <v>174</v>
      </c>
      <c r="B131" s="19">
        <v>45787</v>
      </c>
      <c r="C131" t="s" s="20">
        <v>16</v>
      </c>
      <c r="D131" t="s" s="20">
        <v>63</v>
      </c>
      <c r="E131" t="s" s="20">
        <v>18</v>
      </c>
      <c r="F131" s="21">
        <v>45</v>
      </c>
      <c r="G131" s="22">
        <v>81.3</v>
      </c>
      <c r="H131" t="s" s="23">
        <v>19</v>
      </c>
      <c r="I131" s="17"/>
    </row>
    <row r="132" ht="14.65" customHeight="1">
      <c r="A132" t="s" s="11">
        <v>175</v>
      </c>
      <c r="B132" s="12">
        <v>45792</v>
      </c>
      <c r="C132" t="s" s="13">
        <v>16</v>
      </c>
      <c r="D132" t="s" s="13">
        <v>17</v>
      </c>
      <c r="E132" t="s" s="13">
        <v>65</v>
      </c>
      <c r="F132" s="14">
        <v>39</v>
      </c>
      <c r="G132" s="15">
        <v>62.39</v>
      </c>
      <c r="H132" t="s" s="16">
        <v>19</v>
      </c>
      <c r="I132" s="17"/>
    </row>
    <row r="133" ht="14.65" customHeight="1">
      <c r="A133" t="s" s="18">
        <v>176</v>
      </c>
      <c r="B133" s="19">
        <v>45793</v>
      </c>
      <c r="C133" t="s" s="20">
        <v>34</v>
      </c>
      <c r="D133" t="s" s="20">
        <v>47</v>
      </c>
      <c r="E133" t="s" s="20">
        <v>59</v>
      </c>
      <c r="F133" s="21">
        <v>35</v>
      </c>
      <c r="G133" s="22">
        <v>68.17</v>
      </c>
      <c r="H133" t="s" s="23">
        <v>19</v>
      </c>
      <c r="I133" s="17"/>
    </row>
    <row r="134" ht="14.65" customHeight="1">
      <c r="A134" t="s" s="11">
        <v>177</v>
      </c>
      <c r="B134" s="12">
        <v>45793</v>
      </c>
      <c r="C134" t="s" s="13">
        <v>26</v>
      </c>
      <c r="D134" t="s" s="13">
        <v>27</v>
      </c>
      <c r="E134" t="s" s="13">
        <v>39</v>
      </c>
      <c r="F134" s="14">
        <v>19</v>
      </c>
      <c r="G134" s="15">
        <v>31.72</v>
      </c>
      <c r="H134" t="s" s="16">
        <v>19</v>
      </c>
      <c r="I134" s="17"/>
    </row>
    <row r="135" ht="14.65" customHeight="1">
      <c r="A135" t="s" s="18">
        <v>178</v>
      </c>
      <c r="B135" s="19">
        <v>45793</v>
      </c>
      <c r="C135" t="s" s="20">
        <v>16</v>
      </c>
      <c r="D135" t="s" s="20">
        <v>17</v>
      </c>
      <c r="E135" t="s" s="20">
        <v>18</v>
      </c>
      <c r="F135" s="21">
        <v>25</v>
      </c>
      <c r="G135" s="22">
        <v>36.45</v>
      </c>
      <c r="H135" t="s" s="23">
        <v>19</v>
      </c>
      <c r="I135" s="17"/>
    </row>
    <row r="136" ht="14.65" customHeight="1">
      <c r="A136" t="s" s="11">
        <v>179</v>
      </c>
      <c r="B136" s="12">
        <v>45794</v>
      </c>
      <c r="C136" t="s" s="13">
        <v>21</v>
      </c>
      <c r="D136" t="s" s="13">
        <v>51</v>
      </c>
      <c r="E136" t="s" s="13">
        <v>32</v>
      </c>
      <c r="F136" s="14">
        <v>24</v>
      </c>
      <c r="G136" s="15">
        <v>24.86</v>
      </c>
      <c r="H136" t="s" s="16">
        <v>19</v>
      </c>
      <c r="I136" s="17"/>
    </row>
    <row r="137" ht="14.65" customHeight="1">
      <c r="A137" t="s" s="18">
        <v>180</v>
      </c>
      <c r="B137" s="19">
        <v>45795</v>
      </c>
      <c r="C137" t="s" s="20">
        <v>26</v>
      </c>
      <c r="D137" t="s" s="20">
        <v>27</v>
      </c>
      <c r="E137" t="s" s="20">
        <v>43</v>
      </c>
      <c r="F137" s="21">
        <v>47</v>
      </c>
      <c r="G137" s="22">
        <v>64.15000000000001</v>
      </c>
      <c r="H137" t="s" s="23">
        <v>19</v>
      </c>
      <c r="I137" s="17"/>
    </row>
    <row r="138" ht="14.65" customHeight="1">
      <c r="A138" t="s" s="11">
        <v>181</v>
      </c>
      <c r="B138" s="12">
        <v>45796</v>
      </c>
      <c r="C138" t="s" s="13">
        <v>21</v>
      </c>
      <c r="D138" t="s" s="13">
        <v>22</v>
      </c>
      <c r="E138" t="s" s="13">
        <v>32</v>
      </c>
      <c r="F138" s="14">
        <v>30</v>
      </c>
      <c r="G138" s="15">
        <v>31.67</v>
      </c>
      <c r="H138" t="s" s="16">
        <v>19</v>
      </c>
      <c r="I138" s="17"/>
    </row>
    <row r="139" ht="14.65" customHeight="1">
      <c r="A139" t="s" s="18">
        <v>182</v>
      </c>
      <c r="B139" s="19">
        <v>45797</v>
      </c>
      <c r="C139" t="s" s="20">
        <v>30</v>
      </c>
      <c r="D139" t="s" s="20">
        <v>31</v>
      </c>
      <c r="E139" t="s" s="20">
        <v>70</v>
      </c>
      <c r="F139" s="21">
        <v>36</v>
      </c>
      <c r="G139" s="22">
        <v>39.75</v>
      </c>
      <c r="H139" t="s" s="23">
        <v>19</v>
      </c>
      <c r="I139" s="17"/>
    </row>
    <row r="140" ht="14.65" customHeight="1">
      <c r="A140" t="s" s="11">
        <v>183</v>
      </c>
      <c r="B140" s="12">
        <v>45798</v>
      </c>
      <c r="C140" t="s" s="13">
        <v>30</v>
      </c>
      <c r="D140" t="s" s="13">
        <v>42</v>
      </c>
      <c r="E140" t="s" s="13">
        <v>32</v>
      </c>
      <c r="F140" s="14">
        <v>20</v>
      </c>
      <c r="G140" s="15">
        <v>24.68</v>
      </c>
      <c r="H140" t="s" s="16">
        <v>19</v>
      </c>
      <c r="I140" s="17"/>
    </row>
    <row r="141" ht="14.65" customHeight="1">
      <c r="A141" t="s" s="18">
        <v>184</v>
      </c>
      <c r="B141" s="19">
        <v>45798</v>
      </c>
      <c r="C141" t="s" s="20">
        <v>26</v>
      </c>
      <c r="D141" t="s" s="20">
        <v>27</v>
      </c>
      <c r="E141" t="s" s="20">
        <v>43</v>
      </c>
      <c r="F141" s="21">
        <v>62</v>
      </c>
      <c r="G141" s="22">
        <v>96.33</v>
      </c>
      <c r="H141" t="s" s="23">
        <v>24</v>
      </c>
      <c r="I141" s="17"/>
    </row>
    <row r="142" ht="14.65" customHeight="1">
      <c r="A142" t="s" s="11">
        <v>185</v>
      </c>
      <c r="B142" s="12">
        <v>45799</v>
      </c>
      <c r="C142" t="s" s="13">
        <v>26</v>
      </c>
      <c r="D142" t="s" s="13">
        <v>38</v>
      </c>
      <c r="E142" t="s" s="13">
        <v>39</v>
      </c>
      <c r="F142" s="14">
        <v>23</v>
      </c>
      <c r="G142" s="15">
        <v>31.84</v>
      </c>
      <c r="H142" t="s" s="16">
        <v>19</v>
      </c>
      <c r="I142" s="17"/>
    </row>
    <row r="143" ht="14.65" customHeight="1">
      <c r="A143" t="s" s="18">
        <v>186</v>
      </c>
      <c r="B143" s="19">
        <v>45800</v>
      </c>
      <c r="C143" t="s" s="20">
        <v>26</v>
      </c>
      <c r="D143" t="s" s="20">
        <v>27</v>
      </c>
      <c r="E143" t="s" s="20">
        <v>39</v>
      </c>
      <c r="F143" s="21">
        <v>42</v>
      </c>
      <c r="G143" s="22">
        <v>67.40000000000001</v>
      </c>
      <c r="H143" t="s" s="23">
        <v>19</v>
      </c>
      <c r="I143" s="17"/>
    </row>
    <row r="144" ht="14.65" customHeight="1">
      <c r="A144" t="s" s="11">
        <v>187</v>
      </c>
      <c r="B144" s="12">
        <v>45800</v>
      </c>
      <c r="C144" t="s" s="13">
        <v>26</v>
      </c>
      <c r="D144" t="s" s="13">
        <v>38</v>
      </c>
      <c r="E144" t="s" s="13">
        <v>28</v>
      </c>
      <c r="F144" s="14">
        <v>45</v>
      </c>
      <c r="G144" s="15">
        <v>73.16</v>
      </c>
      <c r="H144" t="s" s="16">
        <v>19</v>
      </c>
      <c r="I144" s="17"/>
    </row>
    <row r="145" ht="14.65" customHeight="1">
      <c r="A145" t="s" s="18">
        <v>188</v>
      </c>
      <c r="B145" s="19">
        <v>45803</v>
      </c>
      <c r="C145" t="s" s="20">
        <v>30</v>
      </c>
      <c r="D145" t="s" s="20">
        <v>31</v>
      </c>
      <c r="E145" t="s" s="20">
        <v>32</v>
      </c>
      <c r="F145" s="21">
        <v>23</v>
      </c>
      <c r="G145" s="22">
        <v>30.71</v>
      </c>
      <c r="H145" t="s" s="23">
        <v>19</v>
      </c>
      <c r="I145" s="17"/>
    </row>
    <row r="146" ht="14.65" customHeight="1">
      <c r="A146" t="s" s="11">
        <v>189</v>
      </c>
      <c r="B146" s="12">
        <v>45804</v>
      </c>
      <c r="C146" t="s" s="13">
        <v>26</v>
      </c>
      <c r="D146" t="s" s="13">
        <v>45</v>
      </c>
      <c r="E146" t="s" s="13">
        <v>39</v>
      </c>
      <c r="F146" s="14">
        <v>39</v>
      </c>
      <c r="G146" s="15">
        <v>54.86</v>
      </c>
      <c r="H146" t="s" s="16">
        <v>19</v>
      </c>
      <c r="I146" s="17"/>
    </row>
    <row r="147" ht="14.65" customHeight="1">
      <c r="A147" t="s" s="18">
        <v>190</v>
      </c>
      <c r="B147" s="19">
        <v>45804</v>
      </c>
      <c r="C147" t="s" s="20">
        <v>34</v>
      </c>
      <c r="D147" t="s" s="20">
        <v>47</v>
      </c>
      <c r="E147" t="s" s="20">
        <v>48</v>
      </c>
      <c r="F147" s="21">
        <v>48</v>
      </c>
      <c r="G147" s="22">
        <v>80.06999999999999</v>
      </c>
      <c r="H147" t="s" s="23">
        <v>19</v>
      </c>
      <c r="I147" s="17"/>
    </row>
    <row r="148" ht="14.65" customHeight="1">
      <c r="A148" t="s" s="11">
        <v>191</v>
      </c>
      <c r="B148" s="12">
        <v>45805</v>
      </c>
      <c r="C148" t="s" s="13">
        <v>16</v>
      </c>
      <c r="D148" t="s" s="13">
        <v>17</v>
      </c>
      <c r="E148" t="s" s="13">
        <v>65</v>
      </c>
      <c r="F148" s="14">
        <v>22</v>
      </c>
      <c r="G148" s="15">
        <v>32</v>
      </c>
      <c r="H148" t="s" s="16">
        <v>19</v>
      </c>
      <c r="I148" s="17"/>
    </row>
    <row r="149" ht="14.65" customHeight="1">
      <c r="A149" t="s" s="18">
        <v>192</v>
      </c>
      <c r="B149" s="19">
        <v>45806</v>
      </c>
      <c r="C149" t="s" s="20">
        <v>21</v>
      </c>
      <c r="D149" t="s" s="20">
        <v>51</v>
      </c>
      <c r="E149" t="s" s="20">
        <v>32</v>
      </c>
      <c r="F149" s="21">
        <v>14</v>
      </c>
      <c r="G149" s="22">
        <v>17.07</v>
      </c>
      <c r="H149" t="s" s="23">
        <v>19</v>
      </c>
      <c r="I149" s="17"/>
    </row>
    <row r="150" ht="14.65" customHeight="1">
      <c r="A150" t="s" s="11">
        <v>193</v>
      </c>
      <c r="B150" s="12">
        <v>45806</v>
      </c>
      <c r="C150" t="s" s="13">
        <v>26</v>
      </c>
      <c r="D150" t="s" s="13">
        <v>38</v>
      </c>
      <c r="E150" t="s" s="13">
        <v>39</v>
      </c>
      <c r="F150" s="14">
        <v>27</v>
      </c>
      <c r="G150" s="15">
        <v>44.01</v>
      </c>
      <c r="H150" t="s" s="16">
        <v>19</v>
      </c>
      <c r="I150" s="17"/>
    </row>
    <row r="151" ht="14.65" customHeight="1">
      <c r="A151" t="s" s="18">
        <v>194</v>
      </c>
      <c r="B151" s="19">
        <v>45806</v>
      </c>
      <c r="C151" t="s" s="20">
        <v>21</v>
      </c>
      <c r="D151" t="s" s="20">
        <v>22</v>
      </c>
      <c r="E151" t="s" s="20">
        <v>32</v>
      </c>
      <c r="F151" s="21">
        <v>37</v>
      </c>
      <c r="G151" s="22">
        <v>44.91</v>
      </c>
      <c r="H151" t="s" s="23">
        <v>24</v>
      </c>
      <c r="I151" s="17"/>
    </row>
    <row r="152" ht="14.65" customHeight="1">
      <c r="A152" t="s" s="11">
        <v>195</v>
      </c>
      <c r="B152" s="12">
        <v>45806</v>
      </c>
      <c r="C152" t="s" s="13">
        <v>21</v>
      </c>
      <c r="D152" t="s" s="13">
        <v>51</v>
      </c>
      <c r="E152" t="s" s="13">
        <v>23</v>
      </c>
      <c r="F152" s="14">
        <v>17</v>
      </c>
      <c r="G152" s="15">
        <v>21.43</v>
      </c>
      <c r="H152" t="s" s="16">
        <v>19</v>
      </c>
      <c r="I152" s="17"/>
    </row>
    <row r="153" ht="14.65" customHeight="1">
      <c r="A153" t="s" s="18">
        <v>196</v>
      </c>
      <c r="B153" s="19">
        <v>45807</v>
      </c>
      <c r="C153" t="s" s="20">
        <v>34</v>
      </c>
      <c r="D153" t="s" s="20">
        <v>47</v>
      </c>
      <c r="E153" t="s" s="20">
        <v>36</v>
      </c>
      <c r="F153" s="21">
        <v>45</v>
      </c>
      <c r="G153" s="22">
        <v>78.63</v>
      </c>
      <c r="H153" t="s" s="23">
        <v>19</v>
      </c>
      <c r="I153" s="17"/>
    </row>
    <row r="154" ht="14.65" customHeight="1">
      <c r="A154" t="s" s="11">
        <v>197</v>
      </c>
      <c r="B154" s="12">
        <v>45808</v>
      </c>
      <c r="C154" t="s" s="13">
        <v>30</v>
      </c>
      <c r="D154" t="s" s="13">
        <v>31</v>
      </c>
      <c r="E154" t="s" s="13">
        <v>32</v>
      </c>
      <c r="F154" s="14">
        <v>45</v>
      </c>
      <c r="G154" s="15">
        <v>52.16</v>
      </c>
      <c r="H154" t="s" s="16">
        <v>24</v>
      </c>
      <c r="I154" s="17"/>
    </row>
    <row r="155" ht="14.65" customHeight="1">
      <c r="A155" t="s" s="18">
        <v>198</v>
      </c>
      <c r="B155" s="19">
        <v>45810</v>
      </c>
      <c r="C155" t="s" s="20">
        <v>26</v>
      </c>
      <c r="D155" t="s" s="20">
        <v>45</v>
      </c>
      <c r="E155" t="s" s="20">
        <v>39</v>
      </c>
      <c r="F155" s="21">
        <v>38</v>
      </c>
      <c r="G155" s="22">
        <v>61.34</v>
      </c>
      <c r="H155" t="s" s="23">
        <v>19</v>
      </c>
      <c r="I155" s="17"/>
    </row>
    <row r="156" ht="14.65" customHeight="1">
      <c r="A156" t="s" s="11">
        <v>199</v>
      </c>
      <c r="B156" s="12">
        <v>45810</v>
      </c>
      <c r="C156" t="s" s="13">
        <v>30</v>
      </c>
      <c r="D156" t="s" s="13">
        <v>31</v>
      </c>
      <c r="E156" t="s" s="13">
        <v>43</v>
      </c>
      <c r="F156" s="14">
        <v>22</v>
      </c>
      <c r="G156" s="15">
        <v>26.26</v>
      </c>
      <c r="H156" t="s" s="16">
        <v>19</v>
      </c>
      <c r="I156" s="17"/>
    </row>
    <row r="157" ht="14.65" customHeight="1">
      <c r="A157" t="s" s="18">
        <v>200</v>
      </c>
      <c r="B157" s="19">
        <v>45811</v>
      </c>
      <c r="C157" t="s" s="20">
        <v>21</v>
      </c>
      <c r="D157" t="s" s="20">
        <v>51</v>
      </c>
      <c r="E157" t="s" s="20">
        <v>32</v>
      </c>
      <c r="F157" s="21">
        <v>18</v>
      </c>
      <c r="G157" s="22">
        <v>21.49</v>
      </c>
      <c r="H157" t="s" s="23">
        <v>19</v>
      </c>
      <c r="I157" s="17"/>
    </row>
    <row r="158" ht="14.65" customHeight="1">
      <c r="A158" t="s" s="11">
        <v>201</v>
      </c>
      <c r="B158" s="12">
        <v>45811</v>
      </c>
      <c r="C158" t="s" s="13">
        <v>21</v>
      </c>
      <c r="D158" t="s" s="13">
        <v>51</v>
      </c>
      <c r="E158" t="s" s="13">
        <v>23</v>
      </c>
      <c r="F158" s="14">
        <v>16</v>
      </c>
      <c r="G158" s="15">
        <v>16.72</v>
      </c>
      <c r="H158" t="s" s="16">
        <v>19</v>
      </c>
      <c r="I158" s="17"/>
    </row>
    <row r="159" ht="14.65" customHeight="1">
      <c r="A159" t="s" s="18">
        <v>202</v>
      </c>
      <c r="B159" s="19">
        <v>45811</v>
      </c>
      <c r="C159" t="s" s="20">
        <v>26</v>
      </c>
      <c r="D159" t="s" s="20">
        <v>27</v>
      </c>
      <c r="E159" t="s" s="20">
        <v>39</v>
      </c>
      <c r="F159" s="21">
        <v>13</v>
      </c>
      <c r="G159" s="22">
        <v>18.72</v>
      </c>
      <c r="H159" t="s" s="23">
        <v>19</v>
      </c>
      <c r="I159" s="17"/>
    </row>
    <row r="160" ht="14.65" customHeight="1">
      <c r="A160" t="s" s="11">
        <v>203</v>
      </c>
      <c r="B160" s="12">
        <v>45812</v>
      </c>
      <c r="C160" t="s" s="13">
        <v>34</v>
      </c>
      <c r="D160" t="s" s="13">
        <v>35</v>
      </c>
      <c r="E160" t="s" s="13">
        <v>59</v>
      </c>
      <c r="F160" s="14">
        <v>32</v>
      </c>
      <c r="G160" s="15">
        <v>52.5</v>
      </c>
      <c r="H160" t="s" s="16">
        <v>19</v>
      </c>
      <c r="I160" s="17"/>
    </row>
    <row r="161" ht="14.65" customHeight="1">
      <c r="A161" t="s" s="18">
        <v>204</v>
      </c>
      <c r="B161" s="19">
        <v>45812</v>
      </c>
      <c r="C161" t="s" s="20">
        <v>30</v>
      </c>
      <c r="D161" t="s" s="20">
        <v>31</v>
      </c>
      <c r="E161" t="s" s="20">
        <v>70</v>
      </c>
      <c r="F161" s="21">
        <v>25</v>
      </c>
      <c r="G161" s="22">
        <v>30.4</v>
      </c>
      <c r="H161" t="s" s="23">
        <v>19</v>
      </c>
      <c r="I161" s="17"/>
    </row>
    <row r="162" ht="14.65" customHeight="1">
      <c r="A162" t="s" s="11">
        <v>205</v>
      </c>
      <c r="B162" s="12">
        <v>45813</v>
      </c>
      <c r="C162" t="s" s="13">
        <v>26</v>
      </c>
      <c r="D162" t="s" s="13">
        <v>45</v>
      </c>
      <c r="E162" t="s" s="13">
        <v>43</v>
      </c>
      <c r="F162" s="14">
        <v>25</v>
      </c>
      <c r="G162" s="15">
        <v>37.89</v>
      </c>
      <c r="H162" t="s" s="16">
        <v>19</v>
      </c>
      <c r="I162" s="17"/>
    </row>
    <row r="163" ht="14.65" customHeight="1">
      <c r="A163" t="s" s="18">
        <v>206</v>
      </c>
      <c r="B163" s="19">
        <v>45813</v>
      </c>
      <c r="C163" t="s" s="20">
        <v>34</v>
      </c>
      <c r="D163" t="s" s="20">
        <v>35</v>
      </c>
      <c r="E163" t="s" s="20">
        <v>48</v>
      </c>
      <c r="F163" s="21">
        <v>28</v>
      </c>
      <c r="G163" s="22">
        <v>52.87</v>
      </c>
      <c r="H163" t="s" s="23">
        <v>19</v>
      </c>
      <c r="I163" s="17"/>
    </row>
    <row r="164" ht="14.65" customHeight="1">
      <c r="A164" t="s" s="11">
        <v>207</v>
      </c>
      <c r="B164" s="12">
        <v>45814</v>
      </c>
      <c r="C164" t="s" s="13">
        <v>26</v>
      </c>
      <c r="D164" t="s" s="13">
        <v>38</v>
      </c>
      <c r="E164" t="s" s="13">
        <v>43</v>
      </c>
      <c r="F164" s="14">
        <v>37</v>
      </c>
      <c r="G164" s="15">
        <v>57.39</v>
      </c>
      <c r="H164" t="s" s="16">
        <v>19</v>
      </c>
      <c r="I164" s="17"/>
    </row>
    <row r="165" ht="14.65" customHeight="1">
      <c r="A165" t="s" s="18">
        <v>208</v>
      </c>
      <c r="B165" s="19">
        <v>45815</v>
      </c>
      <c r="C165" t="s" s="20">
        <v>30</v>
      </c>
      <c r="D165" t="s" s="20">
        <v>31</v>
      </c>
      <c r="E165" t="s" s="20">
        <v>70</v>
      </c>
      <c r="F165" s="21">
        <v>36</v>
      </c>
      <c r="G165" s="22">
        <v>46.44</v>
      </c>
      <c r="H165" t="s" s="23">
        <v>19</v>
      </c>
      <c r="I165" s="17"/>
    </row>
    <row r="166" ht="14.65" customHeight="1">
      <c r="A166" t="s" s="11">
        <v>209</v>
      </c>
      <c r="B166" s="12">
        <v>45816</v>
      </c>
      <c r="C166" t="s" s="13">
        <v>16</v>
      </c>
      <c r="D166" t="s" s="13">
        <v>17</v>
      </c>
      <c r="E166" t="s" s="13">
        <v>18</v>
      </c>
      <c r="F166" s="14">
        <v>14</v>
      </c>
      <c r="G166" s="15">
        <v>24.06</v>
      </c>
      <c r="H166" t="s" s="16">
        <v>19</v>
      </c>
      <c r="I166" s="17"/>
    </row>
    <row r="167" ht="14.65" customHeight="1">
      <c r="A167" t="s" s="18">
        <v>210</v>
      </c>
      <c r="B167" s="19">
        <v>45816</v>
      </c>
      <c r="C167" t="s" s="20">
        <v>16</v>
      </c>
      <c r="D167" t="s" s="20">
        <v>63</v>
      </c>
      <c r="E167" t="s" s="20">
        <v>65</v>
      </c>
      <c r="F167" s="21">
        <v>26</v>
      </c>
      <c r="G167" s="22">
        <v>46.9</v>
      </c>
      <c r="H167" t="s" s="23">
        <v>19</v>
      </c>
      <c r="I167" s="17"/>
    </row>
    <row r="168" ht="14.65" customHeight="1">
      <c r="A168" t="s" s="11">
        <v>211</v>
      </c>
      <c r="B168" s="12">
        <v>45816</v>
      </c>
      <c r="C168" t="s" s="13">
        <v>21</v>
      </c>
      <c r="D168" t="s" s="13">
        <v>22</v>
      </c>
      <c r="E168" t="s" s="13">
        <v>32</v>
      </c>
      <c r="F168" s="14">
        <v>26</v>
      </c>
      <c r="G168" s="15">
        <v>29.99</v>
      </c>
      <c r="H168" t="s" s="16">
        <v>19</v>
      </c>
      <c r="I168" s="17"/>
    </row>
    <row r="169" ht="14.65" customHeight="1">
      <c r="A169" t="s" s="18">
        <v>212</v>
      </c>
      <c r="B169" s="19">
        <v>45817</v>
      </c>
      <c r="C169" t="s" s="20">
        <v>30</v>
      </c>
      <c r="D169" t="s" s="20">
        <v>31</v>
      </c>
      <c r="E169" t="s" s="20">
        <v>70</v>
      </c>
      <c r="F169" s="21">
        <v>31</v>
      </c>
      <c r="G169" s="22">
        <v>38.99</v>
      </c>
      <c r="H169" t="s" s="23">
        <v>19</v>
      </c>
      <c r="I169" s="17"/>
    </row>
    <row r="170" ht="14.65" customHeight="1">
      <c r="A170" t="s" s="11">
        <v>213</v>
      </c>
      <c r="B170" s="12">
        <v>45818</v>
      </c>
      <c r="C170" t="s" s="13">
        <v>26</v>
      </c>
      <c r="D170" t="s" s="13">
        <v>45</v>
      </c>
      <c r="E170" t="s" s="13">
        <v>28</v>
      </c>
      <c r="F170" s="14">
        <v>29</v>
      </c>
      <c r="G170" s="15">
        <v>42.59</v>
      </c>
      <c r="H170" t="s" s="16">
        <v>19</v>
      </c>
      <c r="I170" s="17"/>
    </row>
    <row r="171" ht="14.65" customHeight="1">
      <c r="A171" t="s" s="18">
        <v>214</v>
      </c>
      <c r="B171" s="19">
        <v>45818</v>
      </c>
      <c r="C171" t="s" s="20">
        <v>30</v>
      </c>
      <c r="D171" t="s" s="20">
        <v>42</v>
      </c>
      <c r="E171" t="s" s="20">
        <v>70</v>
      </c>
      <c r="F171" s="21">
        <v>30</v>
      </c>
      <c r="G171" s="22">
        <v>32.8</v>
      </c>
      <c r="H171" t="s" s="23">
        <v>19</v>
      </c>
      <c r="I171" s="17"/>
    </row>
    <row r="172" ht="14.65" customHeight="1">
      <c r="A172" t="s" s="11">
        <v>215</v>
      </c>
      <c r="B172" s="12">
        <v>45818</v>
      </c>
      <c r="C172" t="s" s="13">
        <v>21</v>
      </c>
      <c r="D172" t="s" s="13">
        <v>22</v>
      </c>
      <c r="E172" t="s" s="13">
        <v>52</v>
      </c>
      <c r="F172" s="14">
        <v>21</v>
      </c>
      <c r="G172" s="15">
        <v>26.5</v>
      </c>
      <c r="H172" t="s" s="16">
        <v>19</v>
      </c>
      <c r="I172" s="17"/>
    </row>
    <row r="173" ht="14.65" customHeight="1">
      <c r="A173" t="s" s="18">
        <v>216</v>
      </c>
      <c r="B173" s="19">
        <v>45818</v>
      </c>
      <c r="C173" t="s" s="20">
        <v>21</v>
      </c>
      <c r="D173" t="s" s="20">
        <v>22</v>
      </c>
      <c r="E173" t="s" s="20">
        <v>52</v>
      </c>
      <c r="F173" s="21">
        <v>31</v>
      </c>
      <c r="G173" s="22">
        <v>33.61</v>
      </c>
      <c r="H173" t="s" s="23">
        <v>24</v>
      </c>
      <c r="I173" s="17"/>
    </row>
    <row r="174" ht="14.65" customHeight="1">
      <c r="A174" t="s" s="11">
        <v>217</v>
      </c>
      <c r="B174" s="12">
        <v>45820</v>
      </c>
      <c r="C174" t="s" s="13">
        <v>30</v>
      </c>
      <c r="D174" t="s" s="13">
        <v>31</v>
      </c>
      <c r="E174" t="s" s="13">
        <v>70</v>
      </c>
      <c r="F174" s="14">
        <v>21</v>
      </c>
      <c r="G174" s="15">
        <v>28.21</v>
      </c>
      <c r="H174" t="s" s="16">
        <v>19</v>
      </c>
      <c r="I174" s="17"/>
    </row>
    <row r="175" ht="14.65" customHeight="1">
      <c r="A175" t="s" s="18">
        <v>218</v>
      </c>
      <c r="B175" s="19">
        <v>45824</v>
      </c>
      <c r="C175" t="s" s="20">
        <v>26</v>
      </c>
      <c r="D175" t="s" s="20">
        <v>38</v>
      </c>
      <c r="E175" t="s" s="20">
        <v>39</v>
      </c>
      <c r="F175" s="21">
        <v>39</v>
      </c>
      <c r="G175" s="22">
        <v>65.52</v>
      </c>
      <c r="H175" t="s" s="23">
        <v>19</v>
      </c>
      <c r="I175" s="17"/>
    </row>
    <row r="176" ht="14.65" customHeight="1">
      <c r="A176" t="s" s="11">
        <v>219</v>
      </c>
      <c r="B176" s="12">
        <v>45825</v>
      </c>
      <c r="C176" t="s" s="13">
        <v>26</v>
      </c>
      <c r="D176" t="s" s="13">
        <v>45</v>
      </c>
      <c r="E176" t="s" s="13">
        <v>39</v>
      </c>
      <c r="F176" s="14">
        <v>28</v>
      </c>
      <c r="G176" s="15">
        <v>45.79</v>
      </c>
      <c r="H176" t="s" s="16">
        <v>19</v>
      </c>
      <c r="I176" s="17"/>
    </row>
    <row r="177" ht="14.65" customHeight="1">
      <c r="A177" t="s" s="18">
        <v>220</v>
      </c>
      <c r="B177" s="19">
        <v>45825</v>
      </c>
      <c r="C177" t="s" s="20">
        <v>16</v>
      </c>
      <c r="D177" t="s" s="20">
        <v>63</v>
      </c>
      <c r="E177" t="s" s="20">
        <v>36</v>
      </c>
      <c r="F177" s="21">
        <v>35</v>
      </c>
      <c r="G177" s="22">
        <v>52.25</v>
      </c>
      <c r="H177" t="s" s="23">
        <v>19</v>
      </c>
      <c r="I177" s="17"/>
    </row>
    <row r="178" ht="14.65" customHeight="1">
      <c r="A178" t="s" s="11">
        <v>221</v>
      </c>
      <c r="B178" s="12">
        <v>45825</v>
      </c>
      <c r="C178" t="s" s="13">
        <v>16</v>
      </c>
      <c r="D178" t="s" s="13">
        <v>17</v>
      </c>
      <c r="E178" t="s" s="13">
        <v>18</v>
      </c>
      <c r="F178" s="14">
        <v>20</v>
      </c>
      <c r="G178" s="15">
        <v>34.32</v>
      </c>
      <c r="H178" t="s" s="16">
        <v>19</v>
      </c>
      <c r="I178" s="17"/>
    </row>
    <row r="179" ht="14.65" customHeight="1">
      <c r="A179" t="s" s="18">
        <v>222</v>
      </c>
      <c r="B179" s="19">
        <v>45827</v>
      </c>
      <c r="C179" t="s" s="20">
        <v>30</v>
      </c>
      <c r="D179" t="s" s="20">
        <v>31</v>
      </c>
      <c r="E179" t="s" s="20">
        <v>32</v>
      </c>
      <c r="F179" s="21">
        <v>28</v>
      </c>
      <c r="G179" s="22">
        <v>37.84</v>
      </c>
      <c r="H179" t="s" s="23">
        <v>19</v>
      </c>
      <c r="I179" s="17"/>
    </row>
    <row r="180" ht="14.65" customHeight="1">
      <c r="A180" t="s" s="11">
        <v>223</v>
      </c>
      <c r="B180" s="12">
        <v>45828</v>
      </c>
      <c r="C180" t="s" s="13">
        <v>16</v>
      </c>
      <c r="D180" t="s" s="13">
        <v>17</v>
      </c>
      <c r="E180" t="s" s="13">
        <v>65</v>
      </c>
      <c r="F180" s="14">
        <v>44</v>
      </c>
      <c r="G180" s="15">
        <v>68.06</v>
      </c>
      <c r="H180" t="s" s="16">
        <v>19</v>
      </c>
      <c r="I180" s="17"/>
    </row>
    <row r="181" ht="14.65" customHeight="1">
      <c r="A181" t="s" s="18">
        <v>224</v>
      </c>
      <c r="B181" s="19">
        <v>45828</v>
      </c>
      <c r="C181" t="s" s="20">
        <v>26</v>
      </c>
      <c r="D181" t="s" s="20">
        <v>38</v>
      </c>
      <c r="E181" t="s" s="20">
        <v>28</v>
      </c>
      <c r="F181" s="21">
        <v>26</v>
      </c>
      <c r="G181" s="22">
        <v>44.24</v>
      </c>
      <c r="H181" t="s" s="23">
        <v>19</v>
      </c>
      <c r="I181" s="17"/>
    </row>
    <row r="182" ht="14.65" customHeight="1">
      <c r="A182" t="s" s="11">
        <v>225</v>
      </c>
      <c r="B182" s="12">
        <v>45830</v>
      </c>
      <c r="C182" t="s" s="13">
        <v>16</v>
      </c>
      <c r="D182" t="s" s="13">
        <v>63</v>
      </c>
      <c r="E182" t="s" s="13">
        <v>36</v>
      </c>
      <c r="F182" s="14">
        <v>15</v>
      </c>
      <c r="G182" s="15">
        <v>25.27</v>
      </c>
      <c r="H182" t="s" s="16">
        <v>19</v>
      </c>
      <c r="I182" s="17"/>
    </row>
    <row r="183" ht="14.65" customHeight="1">
      <c r="A183" t="s" s="18">
        <v>226</v>
      </c>
      <c r="B183" s="19">
        <v>45832</v>
      </c>
      <c r="C183" t="s" s="20">
        <v>26</v>
      </c>
      <c r="D183" t="s" s="20">
        <v>38</v>
      </c>
      <c r="E183" t="s" s="20">
        <v>39</v>
      </c>
      <c r="F183" s="21">
        <v>46</v>
      </c>
      <c r="G183" s="22">
        <v>68.29000000000001</v>
      </c>
      <c r="H183" t="s" s="23">
        <v>19</v>
      </c>
      <c r="I183" s="17"/>
    </row>
    <row r="184" ht="14.65" customHeight="1">
      <c r="A184" t="s" s="11">
        <v>227</v>
      </c>
      <c r="B184" s="12">
        <v>45833</v>
      </c>
      <c r="C184" t="s" s="13">
        <v>21</v>
      </c>
      <c r="D184" t="s" s="13">
        <v>51</v>
      </c>
      <c r="E184" t="s" s="13">
        <v>52</v>
      </c>
      <c r="F184" s="14">
        <v>19</v>
      </c>
      <c r="G184" s="15">
        <v>22.51</v>
      </c>
      <c r="H184" t="s" s="16">
        <v>19</v>
      </c>
      <c r="I184" s="17"/>
    </row>
    <row r="185" ht="14.65" customHeight="1">
      <c r="A185" t="s" s="18">
        <v>228</v>
      </c>
      <c r="B185" s="19">
        <v>45834</v>
      </c>
      <c r="C185" t="s" s="20">
        <v>30</v>
      </c>
      <c r="D185" t="s" s="20">
        <v>42</v>
      </c>
      <c r="E185" t="s" s="20">
        <v>43</v>
      </c>
      <c r="F185" s="21">
        <v>31</v>
      </c>
      <c r="G185" s="22">
        <v>37.75</v>
      </c>
      <c r="H185" t="s" s="23">
        <v>19</v>
      </c>
      <c r="I185" s="17"/>
    </row>
    <row r="186" ht="14.65" customHeight="1">
      <c r="A186" t="s" s="11">
        <v>229</v>
      </c>
      <c r="B186" s="12">
        <v>45834</v>
      </c>
      <c r="C186" t="s" s="13">
        <v>21</v>
      </c>
      <c r="D186" t="s" s="13">
        <v>51</v>
      </c>
      <c r="E186" t="s" s="13">
        <v>23</v>
      </c>
      <c r="F186" s="14">
        <v>16</v>
      </c>
      <c r="G186" s="15">
        <v>16.9</v>
      </c>
      <c r="H186" t="s" s="16">
        <v>19</v>
      </c>
      <c r="I186" s="17"/>
    </row>
    <row r="187" ht="14.65" customHeight="1">
      <c r="A187" t="s" s="18">
        <v>230</v>
      </c>
      <c r="B187" s="19">
        <v>45835</v>
      </c>
      <c r="C187" t="s" s="20">
        <v>21</v>
      </c>
      <c r="D187" t="s" s="20">
        <v>22</v>
      </c>
      <c r="E187" t="s" s="20">
        <v>32</v>
      </c>
      <c r="F187" s="21">
        <v>26</v>
      </c>
      <c r="G187" s="22">
        <v>27.53</v>
      </c>
      <c r="H187" t="s" s="23">
        <v>19</v>
      </c>
      <c r="I187" s="17"/>
    </row>
    <row r="188" ht="14.65" customHeight="1">
      <c r="A188" t="s" s="11">
        <v>231</v>
      </c>
      <c r="B188" s="12">
        <v>45836</v>
      </c>
      <c r="C188" t="s" s="13">
        <v>26</v>
      </c>
      <c r="D188" t="s" s="13">
        <v>27</v>
      </c>
      <c r="E188" t="s" s="13">
        <v>28</v>
      </c>
      <c r="F188" s="14">
        <v>35</v>
      </c>
      <c r="G188" s="15">
        <v>50.35</v>
      </c>
      <c r="H188" t="s" s="16">
        <v>19</v>
      </c>
      <c r="I188" s="17"/>
    </row>
    <row r="189" ht="14.65" customHeight="1">
      <c r="A189" t="s" s="18">
        <v>232</v>
      </c>
      <c r="B189" s="19">
        <v>45837</v>
      </c>
      <c r="C189" t="s" s="20">
        <v>30</v>
      </c>
      <c r="D189" t="s" s="20">
        <v>31</v>
      </c>
      <c r="E189" t="s" s="20">
        <v>43</v>
      </c>
      <c r="F189" s="21">
        <v>19</v>
      </c>
      <c r="G189" s="22">
        <v>26.21</v>
      </c>
      <c r="H189" t="s" s="23">
        <v>19</v>
      </c>
      <c r="I189" s="17"/>
    </row>
    <row r="190" ht="14.65" customHeight="1">
      <c r="A190" t="s" s="11">
        <v>233</v>
      </c>
      <c r="B190" s="12">
        <v>45838</v>
      </c>
      <c r="C190" t="s" s="13">
        <v>26</v>
      </c>
      <c r="D190" t="s" s="13">
        <v>38</v>
      </c>
      <c r="E190" t="s" s="13">
        <v>43</v>
      </c>
      <c r="F190" s="14">
        <v>35</v>
      </c>
      <c r="G190" s="15">
        <v>57.32</v>
      </c>
      <c r="H190" t="s" s="16">
        <v>19</v>
      </c>
      <c r="I190" s="17"/>
    </row>
    <row r="191" ht="14.65" customHeight="1">
      <c r="A191" t="s" s="18">
        <v>234</v>
      </c>
      <c r="B191" s="19">
        <v>45838</v>
      </c>
      <c r="C191" t="s" s="20">
        <v>34</v>
      </c>
      <c r="D191" t="s" s="20">
        <v>47</v>
      </c>
      <c r="E191" t="s" s="20">
        <v>48</v>
      </c>
      <c r="F191" s="21">
        <v>65</v>
      </c>
      <c r="G191" s="22">
        <v>124.07</v>
      </c>
      <c r="H191" t="s" s="23">
        <v>19</v>
      </c>
      <c r="I191" s="17"/>
    </row>
    <row r="192" ht="14.65" customHeight="1">
      <c r="A192" t="s" s="11">
        <v>235</v>
      </c>
      <c r="B192" s="12">
        <v>45839</v>
      </c>
      <c r="C192" t="s" s="13">
        <v>16</v>
      </c>
      <c r="D192" t="s" s="13">
        <v>17</v>
      </c>
      <c r="E192" t="s" s="13">
        <v>65</v>
      </c>
      <c r="F192" s="14">
        <v>5</v>
      </c>
      <c r="G192" s="15">
        <v>7.76</v>
      </c>
      <c r="H192" t="s" s="16">
        <v>19</v>
      </c>
      <c r="I192" s="17"/>
    </row>
    <row r="193" ht="14.65" customHeight="1">
      <c r="A193" t="s" s="18">
        <v>236</v>
      </c>
      <c r="B193" s="19">
        <v>45840</v>
      </c>
      <c r="C193" t="s" s="20">
        <v>21</v>
      </c>
      <c r="D193" t="s" s="20">
        <v>51</v>
      </c>
      <c r="E193" t="s" s="20">
        <v>52</v>
      </c>
      <c r="F193" s="21">
        <v>18</v>
      </c>
      <c r="G193" s="22">
        <v>19.64</v>
      </c>
      <c r="H193" t="s" s="23">
        <v>19</v>
      </c>
      <c r="I193" s="17"/>
    </row>
    <row r="194" ht="14.65" customHeight="1">
      <c r="A194" t="s" s="11">
        <v>237</v>
      </c>
      <c r="B194" s="12">
        <v>45843</v>
      </c>
      <c r="C194" t="s" s="13">
        <v>30</v>
      </c>
      <c r="D194" t="s" s="13">
        <v>42</v>
      </c>
      <c r="E194" t="s" s="13">
        <v>32</v>
      </c>
      <c r="F194" s="14">
        <v>19</v>
      </c>
      <c r="G194" s="15">
        <v>24.29</v>
      </c>
      <c r="H194" t="s" s="16">
        <v>19</v>
      </c>
      <c r="I194" s="17"/>
    </row>
    <row r="195" ht="14.65" customHeight="1">
      <c r="A195" t="s" s="18">
        <v>238</v>
      </c>
      <c r="B195" s="19">
        <v>45843</v>
      </c>
      <c r="C195" t="s" s="20">
        <v>21</v>
      </c>
      <c r="D195" t="s" s="20">
        <v>22</v>
      </c>
      <c r="E195" t="s" s="20">
        <v>32</v>
      </c>
      <c r="F195" s="21">
        <v>35</v>
      </c>
      <c r="G195" s="22">
        <v>43.76</v>
      </c>
      <c r="H195" t="s" s="23">
        <v>24</v>
      </c>
      <c r="I195" s="17"/>
    </row>
    <row r="196" ht="14.65" customHeight="1">
      <c r="A196" t="s" s="11">
        <v>239</v>
      </c>
      <c r="B196" s="12">
        <v>45843</v>
      </c>
      <c r="C196" t="s" s="13">
        <v>30</v>
      </c>
      <c r="D196" t="s" s="13">
        <v>31</v>
      </c>
      <c r="E196" t="s" s="13">
        <v>43</v>
      </c>
      <c r="F196" s="14">
        <v>29</v>
      </c>
      <c r="G196" s="15">
        <v>35.86</v>
      </c>
      <c r="H196" t="s" s="16">
        <v>19</v>
      </c>
      <c r="I196" s="17"/>
    </row>
    <row r="197" ht="14.65" customHeight="1">
      <c r="A197" t="s" s="18">
        <v>240</v>
      </c>
      <c r="B197" s="19">
        <v>45843</v>
      </c>
      <c r="C197" t="s" s="20">
        <v>34</v>
      </c>
      <c r="D197" t="s" s="20">
        <v>47</v>
      </c>
      <c r="E197" t="s" s="20">
        <v>36</v>
      </c>
      <c r="F197" s="21">
        <v>66</v>
      </c>
      <c r="G197" s="22">
        <v>108.72</v>
      </c>
      <c r="H197" t="s" s="23">
        <v>19</v>
      </c>
      <c r="I197" s="17"/>
    </row>
    <row r="198" ht="14.65" customHeight="1">
      <c r="A198" t="s" s="11">
        <v>241</v>
      </c>
      <c r="B198" s="12">
        <v>45846</v>
      </c>
      <c r="C198" t="s" s="13">
        <v>34</v>
      </c>
      <c r="D198" t="s" s="13">
        <v>47</v>
      </c>
      <c r="E198" t="s" s="13">
        <v>36</v>
      </c>
      <c r="F198" s="14">
        <v>54</v>
      </c>
      <c r="G198" s="15">
        <v>92.98</v>
      </c>
      <c r="H198" t="s" s="16">
        <v>19</v>
      </c>
      <c r="I198" s="17"/>
    </row>
    <row r="199" ht="14.65" customHeight="1">
      <c r="A199" t="s" s="18">
        <v>242</v>
      </c>
      <c r="B199" s="19">
        <v>45847</v>
      </c>
      <c r="C199" t="s" s="20">
        <v>30</v>
      </c>
      <c r="D199" t="s" s="20">
        <v>42</v>
      </c>
      <c r="E199" t="s" s="20">
        <v>70</v>
      </c>
      <c r="F199" s="21">
        <v>31</v>
      </c>
      <c r="G199" s="22">
        <v>41.84</v>
      </c>
      <c r="H199" t="s" s="23">
        <v>19</v>
      </c>
      <c r="I199" s="17"/>
    </row>
    <row r="200" ht="14.65" customHeight="1">
      <c r="A200" t="s" s="11">
        <v>243</v>
      </c>
      <c r="B200" s="12">
        <v>45847</v>
      </c>
      <c r="C200" t="s" s="13">
        <v>26</v>
      </c>
      <c r="D200" t="s" s="13">
        <v>45</v>
      </c>
      <c r="E200" t="s" s="13">
        <v>43</v>
      </c>
      <c r="F200" s="14">
        <v>11</v>
      </c>
      <c r="G200" s="15">
        <v>15.49</v>
      </c>
      <c r="H200" t="s" s="16">
        <v>19</v>
      </c>
      <c r="I200" s="17"/>
    </row>
    <row r="201" ht="14.65" customHeight="1">
      <c r="A201" t="s" s="18">
        <v>244</v>
      </c>
      <c r="B201" s="19">
        <v>45848</v>
      </c>
      <c r="C201" t="s" s="20">
        <v>21</v>
      </c>
      <c r="D201" t="s" s="20">
        <v>51</v>
      </c>
      <c r="E201" t="s" s="20">
        <v>52</v>
      </c>
      <c r="F201" s="21">
        <v>22</v>
      </c>
      <c r="G201" s="22">
        <v>27.57</v>
      </c>
      <c r="H201" t="s" s="23">
        <v>19</v>
      </c>
      <c r="I201" s="17"/>
    </row>
    <row r="202" ht="14.65" customHeight="1">
      <c r="A202" t="s" s="11">
        <v>245</v>
      </c>
      <c r="B202" s="12">
        <v>45849</v>
      </c>
      <c r="C202" t="s" s="13">
        <v>26</v>
      </c>
      <c r="D202" t="s" s="13">
        <v>38</v>
      </c>
      <c r="E202" t="s" s="13">
        <v>39</v>
      </c>
      <c r="F202" s="14">
        <v>37</v>
      </c>
      <c r="G202" s="15">
        <v>51.32</v>
      </c>
      <c r="H202" t="s" s="16">
        <v>19</v>
      </c>
      <c r="I202" s="17"/>
    </row>
    <row r="203" ht="14.65" customHeight="1">
      <c r="A203" t="s" s="18">
        <v>246</v>
      </c>
      <c r="B203" s="19">
        <v>45849</v>
      </c>
      <c r="C203" t="s" s="20">
        <v>26</v>
      </c>
      <c r="D203" t="s" s="20">
        <v>38</v>
      </c>
      <c r="E203" t="s" s="20">
        <v>39</v>
      </c>
      <c r="F203" s="21">
        <v>38</v>
      </c>
      <c r="G203" s="22">
        <v>61.74</v>
      </c>
      <c r="H203" t="s" s="23">
        <v>19</v>
      </c>
      <c r="I203" s="17"/>
    </row>
    <row r="204" ht="14.65" customHeight="1">
      <c r="A204" t="s" s="11">
        <v>247</v>
      </c>
      <c r="B204" s="12">
        <v>45850</v>
      </c>
      <c r="C204" t="s" s="13">
        <v>34</v>
      </c>
      <c r="D204" t="s" s="13">
        <v>35</v>
      </c>
      <c r="E204" t="s" s="13">
        <v>36</v>
      </c>
      <c r="F204" s="14">
        <v>71</v>
      </c>
      <c r="G204" s="15">
        <v>139.66</v>
      </c>
      <c r="H204" t="s" s="16">
        <v>24</v>
      </c>
      <c r="I204" s="17"/>
    </row>
    <row r="205" ht="14.65" customHeight="1">
      <c r="A205" t="s" s="18">
        <v>248</v>
      </c>
      <c r="B205" s="19">
        <v>45852</v>
      </c>
      <c r="C205" t="s" s="20">
        <v>34</v>
      </c>
      <c r="D205" t="s" s="20">
        <v>47</v>
      </c>
      <c r="E205" t="s" s="20">
        <v>59</v>
      </c>
      <c r="F205" s="21">
        <v>63</v>
      </c>
      <c r="G205" s="22">
        <v>128.33</v>
      </c>
      <c r="H205" t="s" s="23">
        <v>19</v>
      </c>
      <c r="I205" s="17"/>
    </row>
    <row r="206" ht="14.65" customHeight="1">
      <c r="A206" t="s" s="11">
        <v>249</v>
      </c>
      <c r="B206" s="12">
        <v>45852</v>
      </c>
      <c r="C206" t="s" s="13">
        <v>26</v>
      </c>
      <c r="D206" t="s" s="13">
        <v>45</v>
      </c>
      <c r="E206" t="s" s="13">
        <v>39</v>
      </c>
      <c r="F206" s="14">
        <v>43</v>
      </c>
      <c r="G206" s="15">
        <v>70.13</v>
      </c>
      <c r="H206" t="s" s="16">
        <v>19</v>
      </c>
      <c r="I206" s="17"/>
    </row>
    <row r="207" ht="14.65" customHeight="1">
      <c r="A207" t="s" s="18">
        <v>250</v>
      </c>
      <c r="B207" s="19">
        <v>45852</v>
      </c>
      <c r="C207" t="s" s="20">
        <v>34</v>
      </c>
      <c r="D207" t="s" s="20">
        <v>35</v>
      </c>
      <c r="E207" t="s" s="20">
        <v>48</v>
      </c>
      <c r="F207" s="21">
        <v>48</v>
      </c>
      <c r="G207" s="22">
        <v>90.13</v>
      </c>
      <c r="H207" t="s" s="23">
        <v>19</v>
      </c>
      <c r="I207" s="17"/>
    </row>
    <row r="208" ht="14.65" customHeight="1">
      <c r="A208" t="s" s="11">
        <v>251</v>
      </c>
      <c r="B208" s="12">
        <v>45853</v>
      </c>
      <c r="C208" t="s" s="13">
        <v>30</v>
      </c>
      <c r="D208" t="s" s="13">
        <v>31</v>
      </c>
      <c r="E208" t="s" s="13">
        <v>43</v>
      </c>
      <c r="F208" s="14">
        <v>25</v>
      </c>
      <c r="G208" s="15">
        <v>34.07</v>
      </c>
      <c r="H208" t="s" s="16">
        <v>19</v>
      </c>
      <c r="I208" s="17"/>
    </row>
    <row r="209" ht="14.65" customHeight="1">
      <c r="A209" t="s" s="18">
        <v>252</v>
      </c>
      <c r="B209" s="19">
        <v>45853</v>
      </c>
      <c r="C209" t="s" s="20">
        <v>26</v>
      </c>
      <c r="D209" t="s" s="20">
        <v>27</v>
      </c>
      <c r="E209" t="s" s="20">
        <v>43</v>
      </c>
      <c r="F209" s="21">
        <v>41</v>
      </c>
      <c r="G209" s="22">
        <v>70.43000000000001</v>
      </c>
      <c r="H209" t="s" s="23">
        <v>19</v>
      </c>
      <c r="I209" s="17"/>
    </row>
    <row r="210" ht="14.65" customHeight="1">
      <c r="A210" t="s" s="11">
        <v>253</v>
      </c>
      <c r="B210" s="12">
        <v>45853</v>
      </c>
      <c r="C210" t="s" s="13">
        <v>30</v>
      </c>
      <c r="D210" t="s" s="13">
        <v>31</v>
      </c>
      <c r="E210" t="s" s="13">
        <v>43</v>
      </c>
      <c r="F210" s="14">
        <v>25</v>
      </c>
      <c r="G210" s="15">
        <v>29.21</v>
      </c>
      <c r="H210" t="s" s="16">
        <v>19</v>
      </c>
      <c r="I210" s="17"/>
    </row>
    <row r="211" ht="14.65" customHeight="1">
      <c r="A211" t="s" s="18">
        <v>254</v>
      </c>
      <c r="B211" s="19">
        <v>45853</v>
      </c>
      <c r="C211" t="s" s="20">
        <v>21</v>
      </c>
      <c r="D211" t="s" s="20">
        <v>22</v>
      </c>
      <c r="E211" t="s" s="20">
        <v>32</v>
      </c>
      <c r="F211" s="21">
        <v>30</v>
      </c>
      <c r="G211" s="22">
        <v>35.27</v>
      </c>
      <c r="H211" t="s" s="23">
        <v>19</v>
      </c>
      <c r="I211" s="17"/>
    </row>
    <row r="212" ht="14.65" customHeight="1">
      <c r="A212" t="s" s="11">
        <v>255</v>
      </c>
      <c r="B212" s="12">
        <v>45853</v>
      </c>
      <c r="C212" t="s" s="13">
        <v>30</v>
      </c>
      <c r="D212" t="s" s="13">
        <v>31</v>
      </c>
      <c r="E212" t="s" s="13">
        <v>70</v>
      </c>
      <c r="F212" s="14">
        <v>48</v>
      </c>
      <c r="G212" s="15">
        <v>64.43000000000001</v>
      </c>
      <c r="H212" t="s" s="16">
        <v>24</v>
      </c>
      <c r="I212" s="17"/>
    </row>
    <row r="213" ht="14.65" customHeight="1">
      <c r="A213" t="s" s="18">
        <v>256</v>
      </c>
      <c r="B213" s="19">
        <v>45854</v>
      </c>
      <c r="C213" t="s" s="20">
        <v>16</v>
      </c>
      <c r="D213" t="s" s="20">
        <v>63</v>
      </c>
      <c r="E213" t="s" s="20">
        <v>36</v>
      </c>
      <c r="F213" s="21">
        <v>27</v>
      </c>
      <c r="G213" s="22">
        <v>43.36</v>
      </c>
      <c r="H213" t="s" s="23">
        <v>19</v>
      </c>
      <c r="I213" s="17"/>
    </row>
    <row r="214" ht="14.65" customHeight="1">
      <c r="A214" t="s" s="11">
        <v>257</v>
      </c>
      <c r="B214" s="12">
        <v>45854</v>
      </c>
      <c r="C214" t="s" s="13">
        <v>26</v>
      </c>
      <c r="D214" t="s" s="13">
        <v>27</v>
      </c>
      <c r="E214" t="s" s="13">
        <v>43</v>
      </c>
      <c r="F214" s="14">
        <v>35</v>
      </c>
      <c r="G214" s="15">
        <v>48.17</v>
      </c>
      <c r="H214" t="s" s="16">
        <v>19</v>
      </c>
      <c r="I214" s="17"/>
    </row>
    <row r="215" ht="14.65" customHeight="1">
      <c r="A215" t="s" s="18">
        <v>258</v>
      </c>
      <c r="B215" s="19">
        <v>45854</v>
      </c>
      <c r="C215" t="s" s="20">
        <v>30</v>
      </c>
      <c r="D215" t="s" s="20">
        <v>42</v>
      </c>
      <c r="E215" t="s" s="20">
        <v>70</v>
      </c>
      <c r="F215" s="21">
        <v>36</v>
      </c>
      <c r="G215" s="22">
        <v>40.91</v>
      </c>
      <c r="H215" t="s" s="23">
        <v>19</v>
      </c>
      <c r="I215" s="17"/>
    </row>
    <row r="216" ht="14.65" customHeight="1">
      <c r="A216" t="s" s="11">
        <v>259</v>
      </c>
      <c r="B216" s="12">
        <v>45854</v>
      </c>
      <c r="C216" t="s" s="13">
        <v>21</v>
      </c>
      <c r="D216" t="s" s="13">
        <v>51</v>
      </c>
      <c r="E216" t="s" s="13">
        <v>52</v>
      </c>
      <c r="F216" s="14">
        <v>26</v>
      </c>
      <c r="G216" s="15">
        <v>26.84</v>
      </c>
      <c r="H216" t="s" s="16">
        <v>19</v>
      </c>
      <c r="I216" s="17"/>
    </row>
    <row r="217" ht="14.65" customHeight="1">
      <c r="A217" t="s" s="18">
        <v>260</v>
      </c>
      <c r="B217" s="19">
        <v>45856</v>
      </c>
      <c r="C217" t="s" s="20">
        <v>26</v>
      </c>
      <c r="D217" t="s" s="20">
        <v>45</v>
      </c>
      <c r="E217" t="s" s="20">
        <v>43</v>
      </c>
      <c r="F217" s="21">
        <v>15</v>
      </c>
      <c r="G217" s="22">
        <v>23.89</v>
      </c>
      <c r="H217" t="s" s="23">
        <v>19</v>
      </c>
      <c r="I217" s="17"/>
    </row>
    <row r="218" ht="14.65" customHeight="1">
      <c r="A218" t="s" s="11">
        <v>261</v>
      </c>
      <c r="B218" s="12">
        <v>45857</v>
      </c>
      <c r="C218" t="s" s="13">
        <v>26</v>
      </c>
      <c r="D218" t="s" s="13">
        <v>27</v>
      </c>
      <c r="E218" t="s" s="13">
        <v>39</v>
      </c>
      <c r="F218" s="14">
        <v>31</v>
      </c>
      <c r="G218" s="15">
        <v>52.54</v>
      </c>
      <c r="H218" t="s" s="16">
        <v>19</v>
      </c>
      <c r="I218" s="17"/>
    </row>
    <row r="219" ht="14.65" customHeight="1">
      <c r="A219" t="s" s="18">
        <v>262</v>
      </c>
      <c r="B219" s="19">
        <v>45860</v>
      </c>
      <c r="C219" t="s" s="20">
        <v>21</v>
      </c>
      <c r="D219" t="s" s="20">
        <v>22</v>
      </c>
      <c r="E219" t="s" s="20">
        <v>32</v>
      </c>
      <c r="F219" s="21">
        <v>19</v>
      </c>
      <c r="G219" s="22">
        <v>21.74</v>
      </c>
      <c r="H219" t="s" s="23">
        <v>19</v>
      </c>
      <c r="I219" s="17"/>
    </row>
    <row r="220" ht="14.65" customHeight="1">
      <c r="A220" t="s" s="11">
        <v>263</v>
      </c>
      <c r="B220" s="12">
        <v>45860</v>
      </c>
      <c r="C220" t="s" s="13">
        <v>21</v>
      </c>
      <c r="D220" t="s" s="13">
        <v>51</v>
      </c>
      <c r="E220" t="s" s="13">
        <v>23</v>
      </c>
      <c r="F220" s="14">
        <v>39</v>
      </c>
      <c r="G220" s="15">
        <v>39.46</v>
      </c>
      <c r="H220" t="s" s="16">
        <v>24</v>
      </c>
      <c r="I220" s="17"/>
    </row>
    <row r="221" ht="14.65" customHeight="1">
      <c r="A221" t="s" s="18">
        <v>264</v>
      </c>
      <c r="B221" s="19">
        <v>45861</v>
      </c>
      <c r="C221" t="s" s="20">
        <v>21</v>
      </c>
      <c r="D221" t="s" s="20">
        <v>51</v>
      </c>
      <c r="E221" t="s" s="20">
        <v>23</v>
      </c>
      <c r="F221" s="21">
        <v>16</v>
      </c>
      <c r="G221" s="22">
        <v>15.92</v>
      </c>
      <c r="H221" t="s" s="23">
        <v>19</v>
      </c>
      <c r="I221" s="17"/>
    </row>
    <row r="222" ht="14.65" customHeight="1">
      <c r="A222" t="s" s="11">
        <v>265</v>
      </c>
      <c r="B222" s="12">
        <v>45861</v>
      </c>
      <c r="C222" t="s" s="13">
        <v>16</v>
      </c>
      <c r="D222" t="s" s="13">
        <v>63</v>
      </c>
      <c r="E222" t="s" s="13">
        <v>65</v>
      </c>
      <c r="F222" s="14">
        <v>25</v>
      </c>
      <c r="G222" s="15">
        <v>45.62</v>
      </c>
      <c r="H222" t="s" s="16">
        <v>19</v>
      </c>
      <c r="I222" s="17"/>
    </row>
    <row r="223" ht="14.65" customHeight="1">
      <c r="A223" t="s" s="18">
        <v>266</v>
      </c>
      <c r="B223" s="19">
        <v>45861</v>
      </c>
      <c r="C223" t="s" s="20">
        <v>34</v>
      </c>
      <c r="D223" t="s" s="20">
        <v>47</v>
      </c>
      <c r="E223" t="s" s="20">
        <v>59</v>
      </c>
      <c r="F223" s="21">
        <v>36</v>
      </c>
      <c r="G223" s="22">
        <v>67.47</v>
      </c>
      <c r="H223" t="s" s="23">
        <v>19</v>
      </c>
      <c r="I223" s="17"/>
    </row>
    <row r="224" ht="14.65" customHeight="1">
      <c r="A224" t="s" s="11">
        <v>267</v>
      </c>
      <c r="B224" s="12">
        <v>45862</v>
      </c>
      <c r="C224" t="s" s="13">
        <v>16</v>
      </c>
      <c r="D224" t="s" s="13">
        <v>17</v>
      </c>
      <c r="E224" t="s" s="13">
        <v>18</v>
      </c>
      <c r="F224" s="14">
        <v>35</v>
      </c>
      <c r="G224" s="15">
        <v>64.03</v>
      </c>
      <c r="H224" t="s" s="16">
        <v>19</v>
      </c>
      <c r="I224" s="17"/>
    </row>
    <row r="225" ht="14.65" customHeight="1">
      <c r="A225" t="s" s="18">
        <v>268</v>
      </c>
      <c r="B225" s="19">
        <v>45863</v>
      </c>
      <c r="C225" t="s" s="20">
        <v>30</v>
      </c>
      <c r="D225" t="s" s="20">
        <v>31</v>
      </c>
      <c r="E225" t="s" s="20">
        <v>70</v>
      </c>
      <c r="F225" s="21">
        <v>27</v>
      </c>
      <c r="G225" s="22">
        <v>35.2</v>
      </c>
      <c r="H225" t="s" s="23">
        <v>19</v>
      </c>
      <c r="I225" s="17"/>
    </row>
    <row r="226" ht="14.65" customHeight="1">
      <c r="A226" t="s" s="11">
        <v>269</v>
      </c>
      <c r="B226" s="12">
        <v>45865</v>
      </c>
      <c r="C226" t="s" s="13">
        <v>16</v>
      </c>
      <c r="D226" t="s" s="13">
        <v>17</v>
      </c>
      <c r="E226" t="s" s="13">
        <v>65</v>
      </c>
      <c r="F226" s="14">
        <v>18</v>
      </c>
      <c r="G226" s="15">
        <v>29.74</v>
      </c>
      <c r="H226" t="s" s="16">
        <v>19</v>
      </c>
      <c r="I226" s="17"/>
    </row>
    <row r="227" ht="14.65" customHeight="1">
      <c r="A227" t="s" s="18">
        <v>270</v>
      </c>
      <c r="B227" s="19">
        <v>45865</v>
      </c>
      <c r="C227" t="s" s="20">
        <v>34</v>
      </c>
      <c r="D227" t="s" s="20">
        <v>47</v>
      </c>
      <c r="E227" t="s" s="20">
        <v>48</v>
      </c>
      <c r="F227" s="21">
        <v>60</v>
      </c>
      <c r="G227" s="22">
        <v>118.84</v>
      </c>
      <c r="H227" t="s" s="23">
        <v>19</v>
      </c>
      <c r="I227" s="17"/>
    </row>
    <row r="228" ht="14.65" customHeight="1">
      <c r="A228" t="s" s="11">
        <v>271</v>
      </c>
      <c r="B228" s="12">
        <v>45865</v>
      </c>
      <c r="C228" t="s" s="13">
        <v>16</v>
      </c>
      <c r="D228" t="s" s="13">
        <v>17</v>
      </c>
      <c r="E228" t="s" s="13">
        <v>65</v>
      </c>
      <c r="F228" s="14">
        <v>50</v>
      </c>
      <c r="G228" s="15">
        <v>77.90000000000001</v>
      </c>
      <c r="H228" t="s" s="16">
        <v>24</v>
      </c>
      <c r="I228" s="17"/>
    </row>
    <row r="229" ht="14.65" customHeight="1">
      <c r="A229" t="s" s="18">
        <v>272</v>
      </c>
      <c r="B229" s="19">
        <v>45867</v>
      </c>
      <c r="C229" t="s" s="20">
        <v>26</v>
      </c>
      <c r="D229" t="s" s="20">
        <v>27</v>
      </c>
      <c r="E229" t="s" s="20">
        <v>28</v>
      </c>
      <c r="F229" s="21">
        <v>43</v>
      </c>
      <c r="G229" s="22">
        <v>69.23999999999999</v>
      </c>
      <c r="H229" t="s" s="23">
        <v>19</v>
      </c>
      <c r="I229" s="17"/>
    </row>
    <row r="230" ht="14.65" customHeight="1">
      <c r="A230" t="s" s="11">
        <v>273</v>
      </c>
      <c r="B230" s="12">
        <v>45868</v>
      </c>
      <c r="C230" t="s" s="13">
        <v>30</v>
      </c>
      <c r="D230" t="s" s="13">
        <v>31</v>
      </c>
      <c r="E230" t="s" s="13">
        <v>43</v>
      </c>
      <c r="F230" s="14">
        <v>30</v>
      </c>
      <c r="G230" s="15">
        <v>38.95</v>
      </c>
      <c r="H230" t="s" s="16">
        <v>19</v>
      </c>
      <c r="I230" s="17"/>
    </row>
    <row r="231" ht="14.65" customHeight="1">
      <c r="A231" t="s" s="18">
        <v>274</v>
      </c>
      <c r="B231" s="19">
        <v>45871</v>
      </c>
      <c r="C231" t="s" s="20">
        <v>34</v>
      </c>
      <c r="D231" t="s" s="20">
        <v>35</v>
      </c>
      <c r="E231" t="s" s="20">
        <v>59</v>
      </c>
      <c r="F231" s="21">
        <v>7</v>
      </c>
      <c r="G231" s="22">
        <v>11.98</v>
      </c>
      <c r="H231" t="s" s="23">
        <v>19</v>
      </c>
      <c r="I231" s="17"/>
    </row>
    <row r="232" ht="14.65" customHeight="1">
      <c r="A232" t="s" s="11">
        <v>275</v>
      </c>
      <c r="B232" s="12">
        <v>45875</v>
      </c>
      <c r="C232" t="s" s="13">
        <v>30</v>
      </c>
      <c r="D232" t="s" s="13">
        <v>31</v>
      </c>
      <c r="E232" t="s" s="13">
        <v>43</v>
      </c>
      <c r="F232" s="14">
        <v>19</v>
      </c>
      <c r="G232" s="15">
        <v>23.11</v>
      </c>
      <c r="H232" t="s" s="16">
        <v>19</v>
      </c>
      <c r="I232" s="17"/>
    </row>
    <row r="233" ht="14.65" customHeight="1">
      <c r="A233" t="s" s="18">
        <v>276</v>
      </c>
      <c r="B233" s="19">
        <v>45877</v>
      </c>
      <c r="C233" t="s" s="20">
        <v>21</v>
      </c>
      <c r="D233" t="s" s="20">
        <v>51</v>
      </c>
      <c r="E233" t="s" s="20">
        <v>52</v>
      </c>
      <c r="F233" s="21">
        <v>34</v>
      </c>
      <c r="G233" s="22">
        <v>36.16</v>
      </c>
      <c r="H233" t="s" s="23">
        <v>24</v>
      </c>
      <c r="I233" s="17"/>
    </row>
    <row r="234" ht="14.65" customHeight="1">
      <c r="A234" t="s" s="11">
        <v>277</v>
      </c>
      <c r="B234" s="12">
        <v>45878</v>
      </c>
      <c r="C234" t="s" s="13">
        <v>21</v>
      </c>
      <c r="D234" t="s" s="13">
        <v>22</v>
      </c>
      <c r="E234" t="s" s="13">
        <v>23</v>
      </c>
      <c r="F234" s="14">
        <v>23</v>
      </c>
      <c r="G234" s="15">
        <v>23.42</v>
      </c>
      <c r="H234" t="s" s="16">
        <v>19</v>
      </c>
      <c r="I234" s="17"/>
    </row>
    <row r="235" ht="14.65" customHeight="1">
      <c r="A235" t="s" s="18">
        <v>278</v>
      </c>
      <c r="B235" s="19">
        <v>45882</v>
      </c>
      <c r="C235" t="s" s="20">
        <v>30</v>
      </c>
      <c r="D235" t="s" s="20">
        <v>31</v>
      </c>
      <c r="E235" t="s" s="20">
        <v>70</v>
      </c>
      <c r="F235" s="21">
        <v>23</v>
      </c>
      <c r="G235" s="22">
        <v>31.17</v>
      </c>
      <c r="H235" t="s" s="23">
        <v>19</v>
      </c>
      <c r="I235" s="17"/>
    </row>
    <row r="236" ht="14.65" customHeight="1">
      <c r="A236" t="s" s="11">
        <v>279</v>
      </c>
      <c r="B236" s="12">
        <v>45884</v>
      </c>
      <c r="C236" t="s" s="13">
        <v>16</v>
      </c>
      <c r="D236" t="s" s="13">
        <v>17</v>
      </c>
      <c r="E236" t="s" s="13">
        <v>65</v>
      </c>
      <c r="F236" s="14">
        <v>27</v>
      </c>
      <c r="G236" s="15">
        <v>43.7</v>
      </c>
      <c r="H236" t="s" s="16">
        <v>19</v>
      </c>
      <c r="I236" s="17"/>
    </row>
    <row r="237" ht="14.65" customHeight="1">
      <c r="A237" t="s" s="18">
        <v>280</v>
      </c>
      <c r="B237" s="19">
        <v>45884</v>
      </c>
      <c r="C237" t="s" s="20">
        <v>21</v>
      </c>
      <c r="D237" t="s" s="20">
        <v>22</v>
      </c>
      <c r="E237" t="s" s="20">
        <v>52</v>
      </c>
      <c r="F237" s="21">
        <v>13</v>
      </c>
      <c r="G237" s="22">
        <v>16.31</v>
      </c>
      <c r="H237" t="s" s="23">
        <v>19</v>
      </c>
      <c r="I237" s="17"/>
    </row>
    <row r="238" ht="14.65" customHeight="1">
      <c r="A238" t="s" s="11">
        <v>281</v>
      </c>
      <c r="B238" s="12">
        <v>45884</v>
      </c>
      <c r="C238" t="s" s="13">
        <v>16</v>
      </c>
      <c r="D238" t="s" s="13">
        <v>63</v>
      </c>
      <c r="E238" t="s" s="13">
        <v>36</v>
      </c>
      <c r="F238" s="14">
        <v>38</v>
      </c>
      <c r="G238" s="15">
        <v>67.3</v>
      </c>
      <c r="H238" t="s" s="16">
        <v>19</v>
      </c>
      <c r="I238" s="17"/>
    </row>
    <row r="239" ht="14.65" customHeight="1">
      <c r="A239" t="s" s="18">
        <v>282</v>
      </c>
      <c r="B239" s="19">
        <v>45887</v>
      </c>
      <c r="C239" t="s" s="20">
        <v>30</v>
      </c>
      <c r="D239" t="s" s="20">
        <v>42</v>
      </c>
      <c r="E239" t="s" s="20">
        <v>70</v>
      </c>
      <c r="F239" s="21">
        <v>5</v>
      </c>
      <c r="G239" s="22">
        <v>5.47</v>
      </c>
      <c r="H239" t="s" s="23">
        <v>19</v>
      </c>
      <c r="I239" s="17"/>
    </row>
    <row r="240" ht="14.65" customHeight="1">
      <c r="A240" t="s" s="11">
        <v>283</v>
      </c>
      <c r="B240" s="12">
        <v>45888</v>
      </c>
      <c r="C240" t="s" s="13">
        <v>21</v>
      </c>
      <c r="D240" t="s" s="13">
        <v>22</v>
      </c>
      <c r="E240" t="s" s="13">
        <v>32</v>
      </c>
      <c r="F240" s="14">
        <v>17</v>
      </c>
      <c r="G240" s="15">
        <v>18.68</v>
      </c>
      <c r="H240" t="s" s="16">
        <v>19</v>
      </c>
      <c r="I240" s="17"/>
    </row>
    <row r="241" ht="14.65" customHeight="1">
      <c r="A241" t="s" s="18">
        <v>284</v>
      </c>
      <c r="B241" s="19">
        <v>45888</v>
      </c>
      <c r="C241" t="s" s="20">
        <v>26</v>
      </c>
      <c r="D241" t="s" s="20">
        <v>38</v>
      </c>
      <c r="E241" t="s" s="20">
        <v>43</v>
      </c>
      <c r="F241" s="21">
        <v>44</v>
      </c>
      <c r="G241" s="22">
        <v>64.59</v>
      </c>
      <c r="H241" t="s" s="23">
        <v>19</v>
      </c>
      <c r="I241" s="17"/>
    </row>
    <row r="242" ht="14.65" customHeight="1">
      <c r="A242" t="s" s="11">
        <v>285</v>
      </c>
      <c r="B242" s="12">
        <v>45894</v>
      </c>
      <c r="C242" t="s" s="13">
        <v>30</v>
      </c>
      <c r="D242" t="s" s="13">
        <v>42</v>
      </c>
      <c r="E242" t="s" s="13">
        <v>70</v>
      </c>
      <c r="F242" s="14">
        <v>37</v>
      </c>
      <c r="G242" s="15">
        <v>41.71</v>
      </c>
      <c r="H242" t="s" s="16">
        <v>19</v>
      </c>
      <c r="I242" s="17"/>
    </row>
    <row r="243" ht="14.65" customHeight="1">
      <c r="A243" t="s" s="18">
        <v>286</v>
      </c>
      <c r="B243" s="19">
        <v>45894</v>
      </c>
      <c r="C243" t="s" s="20">
        <v>16</v>
      </c>
      <c r="D243" t="s" s="20">
        <v>17</v>
      </c>
      <c r="E243" t="s" s="20">
        <v>36</v>
      </c>
      <c r="F243" s="21">
        <v>51</v>
      </c>
      <c r="G243" s="22">
        <v>90.09999999999999</v>
      </c>
      <c r="H243" t="s" s="23">
        <v>24</v>
      </c>
      <c r="I243" s="17"/>
    </row>
    <row r="244" ht="14.65" customHeight="1">
      <c r="A244" t="s" s="11">
        <v>287</v>
      </c>
      <c r="B244" s="12">
        <v>45894</v>
      </c>
      <c r="C244" t="s" s="13">
        <v>26</v>
      </c>
      <c r="D244" t="s" s="13">
        <v>38</v>
      </c>
      <c r="E244" t="s" s="13">
        <v>39</v>
      </c>
      <c r="F244" s="14">
        <v>35</v>
      </c>
      <c r="G244" s="15">
        <v>50.11</v>
      </c>
      <c r="H244" t="s" s="16">
        <v>19</v>
      </c>
      <c r="I244" s="17"/>
    </row>
    <row r="245" ht="14.65" customHeight="1">
      <c r="A245" t="s" s="18">
        <v>288</v>
      </c>
      <c r="B245" s="19">
        <v>45896</v>
      </c>
      <c r="C245" t="s" s="20">
        <v>16</v>
      </c>
      <c r="D245" t="s" s="20">
        <v>63</v>
      </c>
      <c r="E245" t="s" s="20">
        <v>65</v>
      </c>
      <c r="F245" s="21">
        <v>14</v>
      </c>
      <c r="G245" s="22">
        <v>20.8</v>
      </c>
      <c r="H245" t="s" s="23">
        <v>19</v>
      </c>
      <c r="I245" s="17"/>
    </row>
    <row r="246" ht="14.65" customHeight="1">
      <c r="A246" t="s" s="11">
        <v>289</v>
      </c>
      <c r="B246" s="12">
        <v>45898</v>
      </c>
      <c r="C246" t="s" s="13">
        <v>26</v>
      </c>
      <c r="D246" t="s" s="13">
        <v>38</v>
      </c>
      <c r="E246" t="s" s="13">
        <v>39</v>
      </c>
      <c r="F246" s="14">
        <v>34</v>
      </c>
      <c r="G246" s="15">
        <v>49.89</v>
      </c>
      <c r="H246" t="s" s="16">
        <v>19</v>
      </c>
      <c r="I246" s="17"/>
    </row>
    <row r="247" ht="14.65" customHeight="1">
      <c r="A247" t="s" s="18">
        <v>290</v>
      </c>
      <c r="B247" s="19">
        <v>45899</v>
      </c>
      <c r="C247" t="s" s="20">
        <v>34</v>
      </c>
      <c r="D247" t="s" s="20">
        <v>47</v>
      </c>
      <c r="E247" t="s" s="20">
        <v>59</v>
      </c>
      <c r="F247" s="21">
        <v>16</v>
      </c>
      <c r="G247" s="22">
        <v>26.06</v>
      </c>
      <c r="H247" t="s" s="23">
        <v>19</v>
      </c>
      <c r="I247" s="17"/>
    </row>
    <row r="248" ht="14.65" customHeight="1">
      <c r="A248" t="s" s="11">
        <v>291</v>
      </c>
      <c r="B248" s="12">
        <v>45901</v>
      </c>
      <c r="C248" t="s" s="13">
        <v>30</v>
      </c>
      <c r="D248" t="s" s="13">
        <v>42</v>
      </c>
      <c r="E248" t="s" s="13">
        <v>70</v>
      </c>
      <c r="F248" s="14">
        <v>19</v>
      </c>
      <c r="G248" s="15">
        <v>25.7</v>
      </c>
      <c r="H248" t="s" s="16">
        <v>19</v>
      </c>
      <c r="I248" s="17"/>
    </row>
    <row r="249" ht="14.65" customHeight="1">
      <c r="A249" t="s" s="18">
        <v>292</v>
      </c>
      <c r="B249" s="19">
        <v>45902</v>
      </c>
      <c r="C249" t="s" s="20">
        <v>30</v>
      </c>
      <c r="D249" t="s" s="20">
        <v>42</v>
      </c>
      <c r="E249" t="s" s="20">
        <v>32</v>
      </c>
      <c r="F249" s="21">
        <v>29</v>
      </c>
      <c r="G249" s="22">
        <v>32.94</v>
      </c>
      <c r="H249" t="s" s="23">
        <v>19</v>
      </c>
      <c r="I249" s="17"/>
    </row>
    <row r="250" ht="14.65" customHeight="1">
      <c r="A250" t="s" s="11">
        <v>293</v>
      </c>
      <c r="B250" s="12">
        <v>45903</v>
      </c>
      <c r="C250" t="s" s="13">
        <v>30</v>
      </c>
      <c r="D250" t="s" s="13">
        <v>42</v>
      </c>
      <c r="E250" t="s" s="13">
        <v>32</v>
      </c>
      <c r="F250" s="14">
        <v>12</v>
      </c>
      <c r="G250" s="15">
        <v>15.54</v>
      </c>
      <c r="H250" t="s" s="16">
        <v>19</v>
      </c>
      <c r="I250" s="17"/>
    </row>
    <row r="251" ht="14.65" customHeight="1">
      <c r="A251" t="s" s="18">
        <v>294</v>
      </c>
      <c r="B251" s="19">
        <v>45903</v>
      </c>
      <c r="C251" t="s" s="20">
        <v>30</v>
      </c>
      <c r="D251" t="s" s="20">
        <v>31</v>
      </c>
      <c r="E251" t="s" s="20">
        <v>43</v>
      </c>
      <c r="F251" s="21">
        <v>22</v>
      </c>
      <c r="G251" s="22">
        <v>24.25</v>
      </c>
      <c r="H251" t="s" s="23">
        <v>19</v>
      </c>
      <c r="I251" s="17"/>
    </row>
    <row r="252" ht="14.65" customHeight="1">
      <c r="A252" t="s" s="11">
        <v>295</v>
      </c>
      <c r="B252" s="12">
        <v>45904</v>
      </c>
      <c r="C252" t="s" s="13">
        <v>21</v>
      </c>
      <c r="D252" t="s" s="13">
        <v>22</v>
      </c>
      <c r="E252" t="s" s="13">
        <v>52</v>
      </c>
      <c r="F252" s="14">
        <v>20</v>
      </c>
      <c r="G252" s="15">
        <v>24.59</v>
      </c>
      <c r="H252" t="s" s="16">
        <v>19</v>
      </c>
      <c r="I252" s="17"/>
    </row>
    <row r="253" ht="14.65" customHeight="1">
      <c r="A253" t="s" s="18">
        <v>296</v>
      </c>
      <c r="B253" s="19">
        <v>45905</v>
      </c>
      <c r="C253" t="s" s="20">
        <v>21</v>
      </c>
      <c r="D253" t="s" s="20">
        <v>51</v>
      </c>
      <c r="E253" t="s" s="20">
        <v>23</v>
      </c>
      <c r="F253" s="21">
        <v>32</v>
      </c>
      <c r="G253" s="22">
        <v>36.53</v>
      </c>
      <c r="H253" t="s" s="23">
        <v>24</v>
      </c>
      <c r="I253" s="17"/>
    </row>
    <row r="254" ht="14.65" customHeight="1">
      <c r="A254" t="s" s="11">
        <v>297</v>
      </c>
      <c r="B254" s="12">
        <v>45906</v>
      </c>
      <c r="C254" t="s" s="13">
        <v>26</v>
      </c>
      <c r="D254" t="s" s="13">
        <v>38</v>
      </c>
      <c r="E254" t="s" s="13">
        <v>28</v>
      </c>
      <c r="F254" s="14">
        <v>44</v>
      </c>
      <c r="G254" s="15">
        <v>60.67</v>
      </c>
      <c r="H254" t="s" s="16">
        <v>19</v>
      </c>
      <c r="I254" s="17"/>
    </row>
    <row r="255" ht="14.65" customHeight="1">
      <c r="A255" t="s" s="18">
        <v>298</v>
      </c>
      <c r="B255" s="19">
        <v>45907</v>
      </c>
      <c r="C255" t="s" s="20">
        <v>21</v>
      </c>
      <c r="D255" t="s" s="20">
        <v>51</v>
      </c>
      <c r="E255" t="s" s="20">
        <v>52</v>
      </c>
      <c r="F255" s="21">
        <v>30</v>
      </c>
      <c r="G255" s="22">
        <v>37.3</v>
      </c>
      <c r="H255" t="s" s="23">
        <v>19</v>
      </c>
      <c r="I255" s="17"/>
    </row>
    <row r="256" ht="14.65" customHeight="1">
      <c r="A256" t="s" s="11">
        <v>299</v>
      </c>
      <c r="B256" s="12">
        <v>45907</v>
      </c>
      <c r="C256" t="s" s="13">
        <v>30</v>
      </c>
      <c r="D256" t="s" s="13">
        <v>31</v>
      </c>
      <c r="E256" t="s" s="13">
        <v>32</v>
      </c>
      <c r="F256" s="14">
        <v>28</v>
      </c>
      <c r="G256" s="15">
        <v>32.09</v>
      </c>
      <c r="H256" t="s" s="16">
        <v>19</v>
      </c>
      <c r="I256" s="17"/>
    </row>
    <row r="257" ht="14.65" customHeight="1">
      <c r="A257" t="s" s="18">
        <v>300</v>
      </c>
      <c r="B257" s="19">
        <v>45908</v>
      </c>
      <c r="C257" t="s" s="20">
        <v>21</v>
      </c>
      <c r="D257" t="s" s="20">
        <v>22</v>
      </c>
      <c r="E257" t="s" s="20">
        <v>23</v>
      </c>
      <c r="F257" s="21">
        <v>14</v>
      </c>
      <c r="G257" s="22">
        <v>14.51</v>
      </c>
      <c r="H257" t="s" s="23">
        <v>19</v>
      </c>
      <c r="I257" s="17"/>
    </row>
    <row r="258" ht="14.65" customHeight="1">
      <c r="A258" t="s" s="11">
        <v>301</v>
      </c>
      <c r="B258" s="12">
        <v>45911</v>
      </c>
      <c r="C258" t="s" s="13">
        <v>21</v>
      </c>
      <c r="D258" t="s" s="13">
        <v>51</v>
      </c>
      <c r="E258" t="s" s="13">
        <v>52</v>
      </c>
      <c r="F258" s="14">
        <v>27</v>
      </c>
      <c r="G258" s="15">
        <v>27.48</v>
      </c>
      <c r="H258" t="s" s="16">
        <v>19</v>
      </c>
      <c r="I258" s="17"/>
    </row>
    <row r="259" ht="14.65" customHeight="1">
      <c r="A259" t="s" s="18">
        <v>302</v>
      </c>
      <c r="B259" s="19">
        <v>45911</v>
      </c>
      <c r="C259" t="s" s="20">
        <v>30</v>
      </c>
      <c r="D259" t="s" s="20">
        <v>31</v>
      </c>
      <c r="E259" t="s" s="20">
        <v>70</v>
      </c>
      <c r="F259" s="21">
        <v>6</v>
      </c>
      <c r="G259" s="22">
        <v>7.26</v>
      </c>
      <c r="H259" t="s" s="23">
        <v>19</v>
      </c>
      <c r="I259" s="17"/>
    </row>
    <row r="260" ht="14.65" customHeight="1">
      <c r="A260" t="s" s="11">
        <v>303</v>
      </c>
      <c r="B260" s="12">
        <v>45912</v>
      </c>
      <c r="C260" t="s" s="13">
        <v>16</v>
      </c>
      <c r="D260" t="s" s="13">
        <v>17</v>
      </c>
      <c r="E260" t="s" s="13">
        <v>65</v>
      </c>
      <c r="F260" s="14">
        <v>29</v>
      </c>
      <c r="G260" s="15">
        <v>46.68</v>
      </c>
      <c r="H260" t="s" s="16">
        <v>19</v>
      </c>
      <c r="I260" s="17"/>
    </row>
    <row r="261" ht="14.65" customHeight="1">
      <c r="A261" t="s" s="18">
        <v>304</v>
      </c>
      <c r="B261" s="19">
        <v>45913</v>
      </c>
      <c r="C261" t="s" s="20">
        <v>30</v>
      </c>
      <c r="D261" t="s" s="20">
        <v>42</v>
      </c>
      <c r="E261" t="s" s="20">
        <v>70</v>
      </c>
      <c r="F261" s="21">
        <v>27</v>
      </c>
      <c r="G261" s="22">
        <v>30.9</v>
      </c>
      <c r="H261" t="s" s="23">
        <v>19</v>
      </c>
      <c r="I261" s="17"/>
    </row>
    <row r="262" ht="14.65" customHeight="1">
      <c r="A262" t="s" s="11">
        <v>305</v>
      </c>
      <c r="B262" s="12">
        <v>45914</v>
      </c>
      <c r="C262" t="s" s="13">
        <v>16</v>
      </c>
      <c r="D262" t="s" s="13">
        <v>63</v>
      </c>
      <c r="E262" t="s" s="13">
        <v>65</v>
      </c>
      <c r="F262" s="14">
        <v>23</v>
      </c>
      <c r="G262" s="15">
        <v>35.87</v>
      </c>
      <c r="H262" t="s" s="16">
        <v>19</v>
      </c>
      <c r="I262" s="17"/>
    </row>
    <row r="263" ht="14.65" customHeight="1">
      <c r="A263" t="s" s="18">
        <v>306</v>
      </c>
      <c r="B263" s="19">
        <v>45917</v>
      </c>
      <c r="C263" t="s" s="20">
        <v>26</v>
      </c>
      <c r="D263" t="s" s="20">
        <v>45</v>
      </c>
      <c r="E263" t="s" s="20">
        <v>28</v>
      </c>
      <c r="F263" s="21">
        <v>45</v>
      </c>
      <c r="G263" s="22">
        <v>63.41</v>
      </c>
      <c r="H263" t="s" s="23">
        <v>19</v>
      </c>
      <c r="I263" s="17"/>
    </row>
    <row r="264" ht="14.65" customHeight="1">
      <c r="A264" t="s" s="11">
        <v>307</v>
      </c>
      <c r="B264" s="12">
        <v>45917</v>
      </c>
      <c r="C264" t="s" s="13">
        <v>26</v>
      </c>
      <c r="D264" t="s" s="13">
        <v>38</v>
      </c>
      <c r="E264" t="s" s="13">
        <v>39</v>
      </c>
      <c r="F264" s="14">
        <v>27</v>
      </c>
      <c r="G264" s="15">
        <v>43.8</v>
      </c>
      <c r="H264" t="s" s="16">
        <v>19</v>
      </c>
      <c r="I264" s="17"/>
    </row>
    <row r="265" ht="14.65" customHeight="1">
      <c r="A265" t="s" s="18">
        <v>308</v>
      </c>
      <c r="B265" s="19">
        <v>45917</v>
      </c>
      <c r="C265" t="s" s="20">
        <v>26</v>
      </c>
      <c r="D265" t="s" s="20">
        <v>27</v>
      </c>
      <c r="E265" t="s" s="20">
        <v>39</v>
      </c>
      <c r="F265" s="21">
        <v>36</v>
      </c>
      <c r="G265" s="22">
        <v>60.01</v>
      </c>
      <c r="H265" t="s" s="23">
        <v>19</v>
      </c>
      <c r="I265" s="17"/>
    </row>
    <row r="266" ht="14.65" customHeight="1">
      <c r="A266" t="s" s="11">
        <v>309</v>
      </c>
      <c r="B266" s="12">
        <v>45917</v>
      </c>
      <c r="C266" t="s" s="13">
        <v>34</v>
      </c>
      <c r="D266" t="s" s="13">
        <v>47</v>
      </c>
      <c r="E266" t="s" s="13">
        <v>59</v>
      </c>
      <c r="F266" s="14">
        <v>62</v>
      </c>
      <c r="G266" s="15">
        <v>108.45</v>
      </c>
      <c r="H266" t="s" s="16">
        <v>19</v>
      </c>
      <c r="I266" s="17"/>
    </row>
    <row r="267" ht="14.65" customHeight="1">
      <c r="A267" t="s" s="18">
        <v>310</v>
      </c>
      <c r="B267" s="19">
        <v>45918</v>
      </c>
      <c r="C267" t="s" s="20">
        <v>26</v>
      </c>
      <c r="D267" t="s" s="20">
        <v>45</v>
      </c>
      <c r="E267" t="s" s="20">
        <v>39</v>
      </c>
      <c r="F267" s="21">
        <v>39</v>
      </c>
      <c r="G267" s="22">
        <v>66.51000000000001</v>
      </c>
      <c r="H267" t="s" s="23">
        <v>19</v>
      </c>
      <c r="I267" s="17"/>
    </row>
    <row r="268" ht="14.65" customHeight="1">
      <c r="A268" t="s" s="11">
        <v>311</v>
      </c>
      <c r="B268" s="12">
        <v>45921</v>
      </c>
      <c r="C268" t="s" s="13">
        <v>26</v>
      </c>
      <c r="D268" t="s" s="13">
        <v>27</v>
      </c>
      <c r="E268" t="s" s="13">
        <v>39</v>
      </c>
      <c r="F268" s="14">
        <v>36</v>
      </c>
      <c r="G268" s="15">
        <v>51.49</v>
      </c>
      <c r="H268" t="s" s="16">
        <v>19</v>
      </c>
      <c r="I268" s="17"/>
    </row>
    <row r="269" ht="14.65" customHeight="1">
      <c r="A269" t="s" s="18">
        <v>312</v>
      </c>
      <c r="B269" s="19">
        <v>45921</v>
      </c>
      <c r="C269" t="s" s="20">
        <v>30</v>
      </c>
      <c r="D269" t="s" s="20">
        <v>31</v>
      </c>
      <c r="E269" t="s" s="20">
        <v>70</v>
      </c>
      <c r="F269" s="21">
        <v>49</v>
      </c>
      <c r="G269" s="22">
        <v>60.35</v>
      </c>
      <c r="H269" t="s" s="23">
        <v>24</v>
      </c>
      <c r="I269" s="17"/>
    </row>
    <row r="270" ht="14.65" customHeight="1">
      <c r="A270" t="s" s="11">
        <v>313</v>
      </c>
      <c r="B270" s="12">
        <v>45923</v>
      </c>
      <c r="C270" t="s" s="13">
        <v>26</v>
      </c>
      <c r="D270" t="s" s="13">
        <v>45</v>
      </c>
      <c r="E270" t="s" s="13">
        <v>43</v>
      </c>
      <c r="F270" s="14">
        <v>31</v>
      </c>
      <c r="G270" s="15">
        <v>44.95</v>
      </c>
      <c r="H270" t="s" s="16">
        <v>19</v>
      </c>
      <c r="I270" s="17"/>
    </row>
    <row r="271" ht="14.65" customHeight="1">
      <c r="A271" t="s" s="18">
        <v>314</v>
      </c>
      <c r="B271" s="19">
        <v>45924</v>
      </c>
      <c r="C271" t="s" s="20">
        <v>30</v>
      </c>
      <c r="D271" t="s" s="20">
        <v>42</v>
      </c>
      <c r="E271" t="s" s="20">
        <v>70</v>
      </c>
      <c r="F271" s="21">
        <v>33</v>
      </c>
      <c r="G271" s="22">
        <v>39.99</v>
      </c>
      <c r="H271" t="s" s="23">
        <v>19</v>
      </c>
      <c r="I271" s="17"/>
    </row>
    <row r="272" ht="14.65" customHeight="1">
      <c r="A272" t="s" s="11">
        <v>315</v>
      </c>
      <c r="B272" s="12">
        <v>45925</v>
      </c>
      <c r="C272" t="s" s="13">
        <v>26</v>
      </c>
      <c r="D272" t="s" s="13">
        <v>45</v>
      </c>
      <c r="E272" t="s" s="13">
        <v>28</v>
      </c>
      <c r="F272" s="14">
        <v>25</v>
      </c>
      <c r="G272" s="15">
        <v>40.03</v>
      </c>
      <c r="H272" t="s" s="16">
        <v>19</v>
      </c>
      <c r="I272" s="17"/>
    </row>
    <row r="273" ht="14.65" customHeight="1">
      <c r="A273" t="s" s="18">
        <v>316</v>
      </c>
      <c r="B273" s="19">
        <v>45926</v>
      </c>
      <c r="C273" t="s" s="20">
        <v>21</v>
      </c>
      <c r="D273" t="s" s="20">
        <v>51</v>
      </c>
      <c r="E273" t="s" s="20">
        <v>52</v>
      </c>
      <c r="F273" s="21">
        <v>6</v>
      </c>
      <c r="G273" s="22">
        <v>6.78</v>
      </c>
      <c r="H273" t="s" s="23">
        <v>19</v>
      </c>
      <c r="I273" s="17"/>
    </row>
    <row r="274" ht="14.65" customHeight="1">
      <c r="A274" t="s" s="11">
        <v>317</v>
      </c>
      <c r="B274" s="12">
        <v>45929</v>
      </c>
      <c r="C274" t="s" s="13">
        <v>21</v>
      </c>
      <c r="D274" t="s" s="13">
        <v>22</v>
      </c>
      <c r="E274" t="s" s="13">
        <v>23</v>
      </c>
      <c r="F274" s="14">
        <v>23</v>
      </c>
      <c r="G274" s="15">
        <v>22.89</v>
      </c>
      <c r="H274" t="s" s="16">
        <v>19</v>
      </c>
      <c r="I274" s="17"/>
    </row>
    <row r="275" ht="14.65" customHeight="1">
      <c r="A275" t="s" s="18">
        <v>318</v>
      </c>
      <c r="B275" s="19">
        <v>45929</v>
      </c>
      <c r="C275" t="s" s="20">
        <v>26</v>
      </c>
      <c r="D275" t="s" s="20">
        <v>27</v>
      </c>
      <c r="E275" t="s" s="20">
        <v>28</v>
      </c>
      <c r="F275" s="21">
        <v>38</v>
      </c>
      <c r="G275" s="22">
        <v>63.71</v>
      </c>
      <c r="H275" t="s" s="23">
        <v>19</v>
      </c>
      <c r="I275" s="17"/>
    </row>
    <row r="276" ht="14.65" customHeight="1">
      <c r="A276" t="s" s="11">
        <v>319</v>
      </c>
      <c r="B276" s="12">
        <v>45929</v>
      </c>
      <c r="C276" t="s" s="13">
        <v>26</v>
      </c>
      <c r="D276" t="s" s="13">
        <v>27</v>
      </c>
      <c r="E276" t="s" s="13">
        <v>43</v>
      </c>
      <c r="F276" s="14">
        <v>31</v>
      </c>
      <c r="G276" s="15">
        <v>46.85</v>
      </c>
      <c r="H276" t="s" s="16">
        <v>19</v>
      </c>
      <c r="I276" s="17"/>
    </row>
    <row r="277" ht="14.65" customHeight="1">
      <c r="A277" t="s" s="18">
        <v>320</v>
      </c>
      <c r="B277" s="19">
        <v>45929</v>
      </c>
      <c r="C277" t="s" s="20">
        <v>26</v>
      </c>
      <c r="D277" t="s" s="20">
        <v>45</v>
      </c>
      <c r="E277" t="s" s="20">
        <v>39</v>
      </c>
      <c r="F277" s="21">
        <v>50</v>
      </c>
      <c r="G277" s="22">
        <v>73.89</v>
      </c>
      <c r="H277" t="s" s="23">
        <v>19</v>
      </c>
      <c r="I277" s="17"/>
    </row>
    <row r="278" ht="14.65" customHeight="1">
      <c r="A278" t="s" s="11">
        <v>321</v>
      </c>
      <c r="B278" s="12">
        <v>45931</v>
      </c>
      <c r="C278" t="s" s="13">
        <v>26</v>
      </c>
      <c r="D278" t="s" s="13">
        <v>45</v>
      </c>
      <c r="E278" t="s" s="13">
        <v>43</v>
      </c>
      <c r="F278" s="14">
        <v>13</v>
      </c>
      <c r="G278" s="15">
        <v>21.05</v>
      </c>
      <c r="H278" t="s" s="16">
        <v>19</v>
      </c>
      <c r="I278" s="17"/>
    </row>
    <row r="279" ht="14.65" customHeight="1">
      <c r="A279" t="s" s="18">
        <v>322</v>
      </c>
      <c r="B279" s="19">
        <v>45932</v>
      </c>
      <c r="C279" t="s" s="20">
        <v>26</v>
      </c>
      <c r="D279" t="s" s="20">
        <v>38</v>
      </c>
      <c r="E279" t="s" s="20">
        <v>28</v>
      </c>
      <c r="F279" s="21">
        <v>43</v>
      </c>
      <c r="G279" s="22">
        <v>67.41</v>
      </c>
      <c r="H279" t="s" s="23">
        <v>19</v>
      </c>
      <c r="I279" s="17"/>
    </row>
    <row r="280" ht="14.65" customHeight="1">
      <c r="A280" t="s" s="11">
        <v>323</v>
      </c>
      <c r="B280" s="12">
        <v>45933</v>
      </c>
      <c r="C280" t="s" s="13">
        <v>16</v>
      </c>
      <c r="D280" t="s" s="13">
        <v>63</v>
      </c>
      <c r="E280" t="s" s="13">
        <v>18</v>
      </c>
      <c r="F280" s="14">
        <v>25</v>
      </c>
      <c r="G280" s="15">
        <v>40.31</v>
      </c>
      <c r="H280" t="s" s="16">
        <v>19</v>
      </c>
      <c r="I280" s="17"/>
    </row>
    <row r="281" ht="14.65" customHeight="1">
      <c r="A281" t="s" s="18">
        <v>324</v>
      </c>
      <c r="B281" s="19">
        <v>45933</v>
      </c>
      <c r="C281" t="s" s="20">
        <v>26</v>
      </c>
      <c r="D281" t="s" s="20">
        <v>38</v>
      </c>
      <c r="E281" t="s" s="20">
        <v>43</v>
      </c>
      <c r="F281" s="21">
        <v>61</v>
      </c>
      <c r="G281" s="22">
        <v>99.65000000000001</v>
      </c>
      <c r="H281" t="s" s="23">
        <v>24</v>
      </c>
      <c r="I281" s="17"/>
    </row>
    <row r="282" ht="14.65" customHeight="1">
      <c r="A282" t="s" s="11">
        <v>325</v>
      </c>
      <c r="B282" s="12">
        <v>45934</v>
      </c>
      <c r="C282" t="s" s="13">
        <v>16</v>
      </c>
      <c r="D282" t="s" s="13">
        <v>63</v>
      </c>
      <c r="E282" t="s" s="13">
        <v>65</v>
      </c>
      <c r="F282" s="14">
        <v>27</v>
      </c>
      <c r="G282" s="15">
        <v>42.25</v>
      </c>
      <c r="H282" t="s" s="16">
        <v>19</v>
      </c>
      <c r="I282" s="17"/>
    </row>
    <row r="283" ht="14.65" customHeight="1">
      <c r="A283" t="s" s="18">
        <v>326</v>
      </c>
      <c r="B283" s="19">
        <v>45934</v>
      </c>
      <c r="C283" t="s" s="20">
        <v>21</v>
      </c>
      <c r="D283" t="s" s="20">
        <v>22</v>
      </c>
      <c r="E283" t="s" s="20">
        <v>52</v>
      </c>
      <c r="F283" s="21">
        <v>14</v>
      </c>
      <c r="G283" s="22">
        <v>14.49</v>
      </c>
      <c r="H283" t="s" s="23">
        <v>19</v>
      </c>
      <c r="I283" s="17"/>
    </row>
    <row r="284" ht="14.65" customHeight="1">
      <c r="A284" t="s" s="11">
        <v>327</v>
      </c>
      <c r="B284" s="12">
        <v>45934</v>
      </c>
      <c r="C284" t="s" s="13">
        <v>26</v>
      </c>
      <c r="D284" t="s" s="13">
        <v>38</v>
      </c>
      <c r="E284" t="s" s="13">
        <v>28</v>
      </c>
      <c r="F284" s="14">
        <v>23</v>
      </c>
      <c r="G284" s="15">
        <v>38.09</v>
      </c>
      <c r="H284" t="s" s="16">
        <v>19</v>
      </c>
      <c r="I284" s="17"/>
    </row>
    <row r="285" ht="14.65" customHeight="1">
      <c r="A285" t="s" s="18">
        <v>328</v>
      </c>
      <c r="B285" s="19">
        <v>45935</v>
      </c>
      <c r="C285" t="s" s="20">
        <v>34</v>
      </c>
      <c r="D285" t="s" s="20">
        <v>47</v>
      </c>
      <c r="E285" t="s" s="20">
        <v>48</v>
      </c>
      <c r="F285" s="21">
        <v>57</v>
      </c>
      <c r="G285" s="22">
        <v>93.63</v>
      </c>
      <c r="H285" t="s" s="23">
        <v>19</v>
      </c>
      <c r="I285" s="17"/>
    </row>
    <row r="286" ht="14.65" customHeight="1">
      <c r="A286" t="s" s="11">
        <v>329</v>
      </c>
      <c r="B286" s="12">
        <v>45936</v>
      </c>
      <c r="C286" t="s" s="13">
        <v>16</v>
      </c>
      <c r="D286" t="s" s="13">
        <v>63</v>
      </c>
      <c r="E286" t="s" s="13">
        <v>65</v>
      </c>
      <c r="F286" s="14">
        <v>22</v>
      </c>
      <c r="G286" s="15">
        <v>38.87</v>
      </c>
      <c r="H286" t="s" s="16">
        <v>19</v>
      </c>
      <c r="I286" s="17"/>
    </row>
    <row r="287" ht="14.65" customHeight="1">
      <c r="A287" t="s" s="18">
        <v>330</v>
      </c>
      <c r="B287" s="19">
        <v>45936</v>
      </c>
      <c r="C287" t="s" s="20">
        <v>26</v>
      </c>
      <c r="D287" t="s" s="20">
        <v>45</v>
      </c>
      <c r="E287" t="s" s="20">
        <v>28</v>
      </c>
      <c r="F287" s="21">
        <v>40</v>
      </c>
      <c r="G287" s="22">
        <v>68.70999999999999</v>
      </c>
      <c r="H287" t="s" s="23">
        <v>19</v>
      </c>
      <c r="I287" s="17"/>
    </row>
    <row r="288" ht="14.65" customHeight="1">
      <c r="A288" t="s" s="11">
        <v>331</v>
      </c>
      <c r="B288" s="12">
        <v>45936</v>
      </c>
      <c r="C288" t="s" s="13">
        <v>30</v>
      </c>
      <c r="D288" t="s" s="13">
        <v>42</v>
      </c>
      <c r="E288" t="s" s="13">
        <v>43</v>
      </c>
      <c r="F288" s="14">
        <v>33</v>
      </c>
      <c r="G288" s="15">
        <v>37.53</v>
      </c>
      <c r="H288" t="s" s="16">
        <v>19</v>
      </c>
      <c r="I288" s="17"/>
    </row>
    <row r="289" ht="14.65" customHeight="1">
      <c r="A289" t="s" s="18">
        <v>332</v>
      </c>
      <c r="B289" s="19">
        <v>45937</v>
      </c>
      <c r="C289" t="s" s="20">
        <v>34</v>
      </c>
      <c r="D289" t="s" s="20">
        <v>47</v>
      </c>
      <c r="E289" t="s" s="20">
        <v>48</v>
      </c>
      <c r="F289" s="21">
        <v>74</v>
      </c>
      <c r="G289" s="22">
        <v>120.87</v>
      </c>
      <c r="H289" t="s" s="23">
        <v>24</v>
      </c>
      <c r="I289" s="17"/>
    </row>
    <row r="290" ht="14.65" customHeight="1">
      <c r="A290" t="s" s="11">
        <v>333</v>
      </c>
      <c r="B290" s="12">
        <v>45937</v>
      </c>
      <c r="C290" t="s" s="13">
        <v>16</v>
      </c>
      <c r="D290" t="s" s="13">
        <v>63</v>
      </c>
      <c r="E290" t="s" s="13">
        <v>18</v>
      </c>
      <c r="F290" s="14">
        <v>6</v>
      </c>
      <c r="G290" s="15">
        <v>9.17</v>
      </c>
      <c r="H290" t="s" s="16">
        <v>19</v>
      </c>
      <c r="I290" s="17"/>
    </row>
    <row r="291" ht="14.65" customHeight="1">
      <c r="A291" t="s" s="18">
        <v>334</v>
      </c>
      <c r="B291" s="19">
        <v>45937</v>
      </c>
      <c r="C291" t="s" s="20">
        <v>26</v>
      </c>
      <c r="D291" t="s" s="20">
        <v>27</v>
      </c>
      <c r="E291" t="s" s="20">
        <v>28</v>
      </c>
      <c r="F291" s="21">
        <v>45</v>
      </c>
      <c r="G291" s="22">
        <v>77.3</v>
      </c>
      <c r="H291" t="s" s="23">
        <v>19</v>
      </c>
      <c r="I291" s="17"/>
    </row>
    <row r="292" ht="14.65" customHeight="1">
      <c r="A292" t="s" s="11">
        <v>335</v>
      </c>
      <c r="B292" s="12">
        <v>45939</v>
      </c>
      <c r="C292" t="s" s="13">
        <v>26</v>
      </c>
      <c r="D292" t="s" s="13">
        <v>27</v>
      </c>
      <c r="E292" t="s" s="13">
        <v>43</v>
      </c>
      <c r="F292" s="14">
        <v>33</v>
      </c>
      <c r="G292" s="15">
        <v>52.11</v>
      </c>
      <c r="H292" t="s" s="16">
        <v>19</v>
      </c>
      <c r="I292" s="17"/>
    </row>
    <row r="293" ht="14.65" customHeight="1">
      <c r="A293" t="s" s="18">
        <v>336</v>
      </c>
      <c r="B293" s="19">
        <v>45939</v>
      </c>
      <c r="C293" t="s" s="20">
        <v>21</v>
      </c>
      <c r="D293" t="s" s="20">
        <v>51</v>
      </c>
      <c r="E293" t="s" s="20">
        <v>23</v>
      </c>
      <c r="F293" s="21">
        <v>28</v>
      </c>
      <c r="G293" s="22">
        <v>32.75</v>
      </c>
      <c r="H293" t="s" s="23">
        <v>19</v>
      </c>
      <c r="I293" s="17"/>
    </row>
    <row r="294" ht="14.65" customHeight="1">
      <c r="A294" t="s" s="11">
        <v>337</v>
      </c>
      <c r="B294" s="12">
        <v>45940</v>
      </c>
      <c r="C294" t="s" s="13">
        <v>30</v>
      </c>
      <c r="D294" t="s" s="13">
        <v>42</v>
      </c>
      <c r="E294" t="s" s="13">
        <v>32</v>
      </c>
      <c r="F294" s="14">
        <v>17</v>
      </c>
      <c r="G294" s="15">
        <v>20.57</v>
      </c>
      <c r="H294" t="s" s="16">
        <v>19</v>
      </c>
      <c r="I294" s="17"/>
    </row>
    <row r="295" ht="14.65" customHeight="1">
      <c r="A295" t="s" s="18">
        <v>338</v>
      </c>
      <c r="B295" s="19">
        <v>45941</v>
      </c>
      <c r="C295" t="s" s="20">
        <v>34</v>
      </c>
      <c r="D295" t="s" s="20">
        <v>47</v>
      </c>
      <c r="E295" t="s" s="20">
        <v>36</v>
      </c>
      <c r="F295" s="21">
        <v>70</v>
      </c>
      <c r="G295" s="22">
        <v>141.84</v>
      </c>
      <c r="H295" t="s" s="23">
        <v>24</v>
      </c>
      <c r="I295" s="17"/>
    </row>
    <row r="296" ht="14.65" customHeight="1">
      <c r="A296" t="s" s="11">
        <v>339</v>
      </c>
      <c r="B296" s="12">
        <v>45942</v>
      </c>
      <c r="C296" t="s" s="13">
        <v>30</v>
      </c>
      <c r="D296" t="s" s="13">
        <v>31</v>
      </c>
      <c r="E296" t="s" s="13">
        <v>43</v>
      </c>
      <c r="F296" s="14">
        <v>17</v>
      </c>
      <c r="G296" s="15">
        <v>19.99</v>
      </c>
      <c r="H296" t="s" s="16">
        <v>19</v>
      </c>
      <c r="I296" s="17"/>
    </row>
    <row r="297" ht="14.65" customHeight="1">
      <c r="A297" t="s" s="18">
        <v>340</v>
      </c>
      <c r="B297" s="19">
        <v>45943</v>
      </c>
      <c r="C297" t="s" s="20">
        <v>21</v>
      </c>
      <c r="D297" t="s" s="20">
        <v>51</v>
      </c>
      <c r="E297" t="s" s="20">
        <v>52</v>
      </c>
      <c r="F297" s="21">
        <v>19</v>
      </c>
      <c r="G297" s="22">
        <v>22.36</v>
      </c>
      <c r="H297" t="s" s="23">
        <v>19</v>
      </c>
      <c r="I297" s="17"/>
    </row>
    <row r="298" ht="14.65" customHeight="1">
      <c r="A298" t="s" s="11">
        <v>341</v>
      </c>
      <c r="B298" s="12">
        <v>45945</v>
      </c>
      <c r="C298" t="s" s="13">
        <v>26</v>
      </c>
      <c r="D298" t="s" s="13">
        <v>27</v>
      </c>
      <c r="E298" t="s" s="13">
        <v>28</v>
      </c>
      <c r="F298" s="14">
        <v>23</v>
      </c>
      <c r="G298" s="15">
        <v>35.05</v>
      </c>
      <c r="H298" t="s" s="16">
        <v>19</v>
      </c>
      <c r="I298" s="17"/>
    </row>
    <row r="299" ht="14.65" customHeight="1">
      <c r="A299" t="s" s="18">
        <v>342</v>
      </c>
      <c r="B299" s="19">
        <v>45945</v>
      </c>
      <c r="C299" t="s" s="20">
        <v>26</v>
      </c>
      <c r="D299" t="s" s="20">
        <v>38</v>
      </c>
      <c r="E299" t="s" s="20">
        <v>39</v>
      </c>
      <c r="F299" s="21">
        <v>22</v>
      </c>
      <c r="G299" s="22">
        <v>35.89</v>
      </c>
      <c r="H299" t="s" s="23">
        <v>19</v>
      </c>
      <c r="I299" s="17"/>
    </row>
    <row r="300" ht="14.65" customHeight="1">
      <c r="A300" t="s" s="11">
        <v>343</v>
      </c>
      <c r="B300" s="12">
        <v>45947</v>
      </c>
      <c r="C300" t="s" s="13">
        <v>26</v>
      </c>
      <c r="D300" t="s" s="13">
        <v>27</v>
      </c>
      <c r="E300" t="s" s="13">
        <v>28</v>
      </c>
      <c r="F300" s="14">
        <v>25</v>
      </c>
      <c r="G300" s="15">
        <v>39.25</v>
      </c>
      <c r="H300" t="s" s="16">
        <v>19</v>
      </c>
      <c r="I300" s="17"/>
    </row>
    <row r="301" ht="14.65" customHeight="1">
      <c r="A301" t="s" s="18">
        <v>344</v>
      </c>
      <c r="B301" s="19">
        <v>45947</v>
      </c>
      <c r="C301" t="s" s="20">
        <v>30</v>
      </c>
      <c r="D301" t="s" s="20">
        <v>31</v>
      </c>
      <c r="E301" t="s" s="20">
        <v>43</v>
      </c>
      <c r="F301" s="21">
        <v>21</v>
      </c>
      <c r="G301" s="22">
        <v>25.63</v>
      </c>
      <c r="H301" t="s" s="23">
        <v>19</v>
      </c>
      <c r="I301" s="17"/>
    </row>
    <row r="302" ht="14.65" customHeight="1">
      <c r="A302" t="s" s="11">
        <v>345</v>
      </c>
      <c r="B302" s="12">
        <v>45947</v>
      </c>
      <c r="C302" t="s" s="13">
        <v>21</v>
      </c>
      <c r="D302" t="s" s="13">
        <v>51</v>
      </c>
      <c r="E302" t="s" s="13">
        <v>52</v>
      </c>
      <c r="F302" s="14">
        <v>20</v>
      </c>
      <c r="G302" s="15">
        <v>24.86</v>
      </c>
      <c r="H302" t="s" s="16">
        <v>19</v>
      </c>
      <c r="I302" s="17"/>
    </row>
    <row r="303" ht="14.65" customHeight="1">
      <c r="A303" t="s" s="18">
        <v>346</v>
      </c>
      <c r="B303" s="19">
        <v>45948</v>
      </c>
      <c r="C303" t="s" s="20">
        <v>21</v>
      </c>
      <c r="D303" t="s" s="20">
        <v>22</v>
      </c>
      <c r="E303" t="s" s="20">
        <v>32</v>
      </c>
      <c r="F303" s="21">
        <v>22</v>
      </c>
      <c r="G303" s="22">
        <v>25.75</v>
      </c>
      <c r="H303" t="s" s="23">
        <v>19</v>
      </c>
      <c r="I303" s="17"/>
    </row>
    <row r="304" ht="14.65" customHeight="1">
      <c r="A304" t="s" s="11">
        <v>347</v>
      </c>
      <c r="B304" s="12">
        <v>45949</v>
      </c>
      <c r="C304" t="s" s="13">
        <v>26</v>
      </c>
      <c r="D304" t="s" s="13">
        <v>27</v>
      </c>
      <c r="E304" t="s" s="13">
        <v>28</v>
      </c>
      <c r="F304" s="14">
        <v>24</v>
      </c>
      <c r="G304" s="15">
        <v>37.65</v>
      </c>
      <c r="H304" t="s" s="16">
        <v>19</v>
      </c>
      <c r="I304" s="17"/>
    </row>
    <row r="305" ht="14.65" customHeight="1">
      <c r="A305" t="s" s="18">
        <v>348</v>
      </c>
      <c r="B305" s="19">
        <v>45949</v>
      </c>
      <c r="C305" t="s" s="20">
        <v>30</v>
      </c>
      <c r="D305" t="s" s="20">
        <v>31</v>
      </c>
      <c r="E305" t="s" s="20">
        <v>70</v>
      </c>
      <c r="F305" s="21">
        <v>36</v>
      </c>
      <c r="G305" s="22">
        <v>39.19</v>
      </c>
      <c r="H305" t="s" s="23">
        <v>19</v>
      </c>
      <c r="I305" s="17"/>
    </row>
    <row r="306" ht="14.65" customHeight="1">
      <c r="A306" t="s" s="11">
        <v>349</v>
      </c>
      <c r="B306" s="12">
        <v>45950</v>
      </c>
      <c r="C306" t="s" s="13">
        <v>26</v>
      </c>
      <c r="D306" t="s" s="13">
        <v>27</v>
      </c>
      <c r="E306" t="s" s="13">
        <v>28</v>
      </c>
      <c r="F306" s="14">
        <v>15</v>
      </c>
      <c r="G306" s="15">
        <v>21.88</v>
      </c>
      <c r="H306" t="s" s="16">
        <v>19</v>
      </c>
      <c r="I306" s="17"/>
    </row>
    <row r="307" ht="14.65" customHeight="1">
      <c r="A307" t="s" s="18">
        <v>350</v>
      </c>
      <c r="B307" s="19">
        <v>45951</v>
      </c>
      <c r="C307" t="s" s="20">
        <v>26</v>
      </c>
      <c r="D307" t="s" s="20">
        <v>45</v>
      </c>
      <c r="E307" t="s" s="20">
        <v>39</v>
      </c>
      <c r="F307" s="21">
        <v>23</v>
      </c>
      <c r="G307" s="22">
        <v>33.99</v>
      </c>
      <c r="H307" t="s" s="23">
        <v>19</v>
      </c>
      <c r="I307" s="17"/>
    </row>
    <row r="308" ht="14.65" customHeight="1">
      <c r="A308" t="s" s="11">
        <v>351</v>
      </c>
      <c r="B308" s="12">
        <v>45951</v>
      </c>
      <c r="C308" t="s" s="13">
        <v>26</v>
      </c>
      <c r="D308" t="s" s="13">
        <v>27</v>
      </c>
      <c r="E308" t="s" s="13">
        <v>28</v>
      </c>
      <c r="F308" s="14">
        <v>30</v>
      </c>
      <c r="G308" s="15">
        <v>43.98</v>
      </c>
      <c r="H308" t="s" s="16">
        <v>19</v>
      </c>
      <c r="I308" s="17"/>
    </row>
    <row r="309" ht="14.65" customHeight="1">
      <c r="A309" t="s" s="18">
        <v>352</v>
      </c>
      <c r="B309" s="19">
        <v>45951</v>
      </c>
      <c r="C309" t="s" s="20">
        <v>30</v>
      </c>
      <c r="D309" t="s" s="20">
        <v>42</v>
      </c>
      <c r="E309" t="s" s="20">
        <v>70</v>
      </c>
      <c r="F309" s="21">
        <v>30</v>
      </c>
      <c r="G309" s="22">
        <v>40.09</v>
      </c>
      <c r="H309" t="s" s="23">
        <v>19</v>
      </c>
      <c r="I309" s="17"/>
    </row>
    <row r="310" ht="14.65" customHeight="1">
      <c r="A310" t="s" s="11">
        <v>353</v>
      </c>
      <c r="B310" s="12">
        <v>45952</v>
      </c>
      <c r="C310" t="s" s="13">
        <v>30</v>
      </c>
      <c r="D310" t="s" s="13">
        <v>42</v>
      </c>
      <c r="E310" t="s" s="13">
        <v>43</v>
      </c>
      <c r="F310" s="14">
        <v>29</v>
      </c>
      <c r="G310" s="15">
        <v>38.47</v>
      </c>
      <c r="H310" t="s" s="16">
        <v>19</v>
      </c>
      <c r="I310" s="17"/>
    </row>
    <row r="311" ht="14.65" customHeight="1">
      <c r="A311" t="s" s="18">
        <v>354</v>
      </c>
      <c r="B311" s="19">
        <v>45952</v>
      </c>
      <c r="C311" t="s" s="20">
        <v>26</v>
      </c>
      <c r="D311" t="s" s="20">
        <v>27</v>
      </c>
      <c r="E311" t="s" s="20">
        <v>43</v>
      </c>
      <c r="F311" s="21">
        <v>35</v>
      </c>
      <c r="G311" s="22">
        <v>57.99</v>
      </c>
      <c r="H311" t="s" s="23">
        <v>19</v>
      </c>
      <c r="I311" s="17"/>
    </row>
    <row r="312" ht="14.65" customHeight="1">
      <c r="A312" t="s" s="11">
        <v>355</v>
      </c>
      <c r="B312" s="12">
        <v>45953</v>
      </c>
      <c r="C312" t="s" s="13">
        <v>34</v>
      </c>
      <c r="D312" t="s" s="13">
        <v>35</v>
      </c>
      <c r="E312" t="s" s="13">
        <v>59</v>
      </c>
      <c r="F312" s="14">
        <v>26</v>
      </c>
      <c r="G312" s="15">
        <v>45.37</v>
      </c>
      <c r="H312" t="s" s="16">
        <v>19</v>
      </c>
      <c r="I312" s="17"/>
    </row>
    <row r="313" ht="14.65" customHeight="1">
      <c r="A313" t="s" s="18">
        <v>356</v>
      </c>
      <c r="B313" s="19">
        <v>45953</v>
      </c>
      <c r="C313" t="s" s="20">
        <v>16</v>
      </c>
      <c r="D313" t="s" s="20">
        <v>63</v>
      </c>
      <c r="E313" t="s" s="20">
        <v>36</v>
      </c>
      <c r="F313" s="21">
        <v>24</v>
      </c>
      <c r="G313" s="22">
        <v>39.34</v>
      </c>
      <c r="H313" t="s" s="23">
        <v>19</v>
      </c>
      <c r="I313" s="17"/>
    </row>
    <row r="314" ht="14.65" customHeight="1">
      <c r="A314" t="s" s="11">
        <v>357</v>
      </c>
      <c r="B314" s="12">
        <v>45954</v>
      </c>
      <c r="C314" t="s" s="13">
        <v>30</v>
      </c>
      <c r="D314" t="s" s="13">
        <v>42</v>
      </c>
      <c r="E314" t="s" s="13">
        <v>43</v>
      </c>
      <c r="F314" s="14">
        <v>13</v>
      </c>
      <c r="G314" s="15">
        <v>16.85</v>
      </c>
      <c r="H314" t="s" s="16">
        <v>19</v>
      </c>
      <c r="I314" s="17"/>
    </row>
    <row r="315" ht="14.65" customHeight="1">
      <c r="A315" t="s" s="18">
        <v>358</v>
      </c>
      <c r="B315" s="19">
        <v>45954</v>
      </c>
      <c r="C315" t="s" s="20">
        <v>16</v>
      </c>
      <c r="D315" t="s" s="20">
        <v>17</v>
      </c>
      <c r="E315" t="s" s="20">
        <v>36</v>
      </c>
      <c r="F315" s="21">
        <v>37</v>
      </c>
      <c r="G315" s="22">
        <v>56.18</v>
      </c>
      <c r="H315" t="s" s="23">
        <v>19</v>
      </c>
      <c r="I315" s="17"/>
    </row>
    <row r="316" ht="14.65" customHeight="1">
      <c r="A316" t="s" s="11">
        <v>359</v>
      </c>
      <c r="B316" s="12">
        <v>45957</v>
      </c>
      <c r="C316" t="s" s="13">
        <v>21</v>
      </c>
      <c r="D316" t="s" s="13">
        <v>51</v>
      </c>
      <c r="E316" t="s" s="13">
        <v>52</v>
      </c>
      <c r="F316" s="14">
        <v>28</v>
      </c>
      <c r="G316" s="15">
        <v>30.65</v>
      </c>
      <c r="H316" t="s" s="16">
        <v>19</v>
      </c>
      <c r="I316" s="17"/>
    </row>
    <row r="317" ht="14.65" customHeight="1">
      <c r="A317" t="s" s="18">
        <v>360</v>
      </c>
      <c r="B317" s="19">
        <v>45957</v>
      </c>
      <c r="C317" t="s" s="20">
        <v>30</v>
      </c>
      <c r="D317" t="s" s="20">
        <v>31</v>
      </c>
      <c r="E317" t="s" s="20">
        <v>32</v>
      </c>
      <c r="F317" s="21">
        <v>24</v>
      </c>
      <c r="G317" s="22">
        <v>29.3</v>
      </c>
      <c r="H317" t="s" s="23">
        <v>19</v>
      </c>
      <c r="I317" s="17"/>
    </row>
    <row r="318" ht="14.65" customHeight="1">
      <c r="A318" t="s" s="11">
        <v>361</v>
      </c>
      <c r="B318" s="12">
        <v>45958</v>
      </c>
      <c r="C318" t="s" s="13">
        <v>30</v>
      </c>
      <c r="D318" t="s" s="13">
        <v>31</v>
      </c>
      <c r="E318" t="s" s="13">
        <v>32</v>
      </c>
      <c r="F318" s="14">
        <v>14</v>
      </c>
      <c r="G318" s="15">
        <v>16.52</v>
      </c>
      <c r="H318" t="s" s="16">
        <v>19</v>
      </c>
      <c r="I318" s="17"/>
    </row>
    <row r="319" ht="14.65" customHeight="1">
      <c r="A319" t="s" s="18">
        <v>362</v>
      </c>
      <c r="B319" s="19">
        <v>45959</v>
      </c>
      <c r="C319" t="s" s="20">
        <v>26</v>
      </c>
      <c r="D319" t="s" s="20">
        <v>38</v>
      </c>
      <c r="E319" t="s" s="20">
        <v>28</v>
      </c>
      <c r="F319" s="21">
        <v>27</v>
      </c>
      <c r="G319" s="22">
        <v>43.52</v>
      </c>
      <c r="H319" t="s" s="23">
        <v>19</v>
      </c>
      <c r="I319" s="17"/>
    </row>
    <row r="320" ht="14.65" customHeight="1">
      <c r="A320" t="s" s="11">
        <v>363</v>
      </c>
      <c r="B320" s="12">
        <v>45959</v>
      </c>
      <c r="C320" t="s" s="13">
        <v>21</v>
      </c>
      <c r="D320" t="s" s="13">
        <v>22</v>
      </c>
      <c r="E320" t="s" s="13">
        <v>32</v>
      </c>
      <c r="F320" s="14">
        <v>23</v>
      </c>
      <c r="G320" s="15">
        <v>25.05</v>
      </c>
      <c r="H320" t="s" s="16">
        <v>19</v>
      </c>
      <c r="I320" s="17"/>
    </row>
    <row r="321" ht="14.65" customHeight="1">
      <c r="A321" t="s" s="18">
        <v>364</v>
      </c>
      <c r="B321" s="19">
        <v>45959</v>
      </c>
      <c r="C321" t="s" s="20">
        <v>21</v>
      </c>
      <c r="D321" t="s" s="20">
        <v>22</v>
      </c>
      <c r="E321" t="s" s="20">
        <v>52</v>
      </c>
      <c r="F321" s="21">
        <v>12</v>
      </c>
      <c r="G321" s="22">
        <v>14.32</v>
      </c>
      <c r="H321" t="s" s="23">
        <v>19</v>
      </c>
      <c r="I321" s="17"/>
    </row>
    <row r="322" ht="14.65" customHeight="1">
      <c r="A322" t="s" s="11">
        <v>365</v>
      </c>
      <c r="B322" s="12">
        <v>45961</v>
      </c>
      <c r="C322" t="s" s="13">
        <v>26</v>
      </c>
      <c r="D322" t="s" s="13">
        <v>38</v>
      </c>
      <c r="E322" t="s" s="13">
        <v>28</v>
      </c>
      <c r="F322" s="14">
        <v>32</v>
      </c>
      <c r="G322" s="15">
        <v>52.21</v>
      </c>
      <c r="H322" t="s" s="16">
        <v>19</v>
      </c>
      <c r="I322" s="17"/>
    </row>
    <row r="323" ht="14.65" customHeight="1">
      <c r="A323" t="s" s="18">
        <v>366</v>
      </c>
      <c r="B323" s="19">
        <v>45962</v>
      </c>
      <c r="C323" t="s" s="20">
        <v>34</v>
      </c>
      <c r="D323" t="s" s="20">
        <v>35</v>
      </c>
      <c r="E323" t="s" s="20">
        <v>59</v>
      </c>
      <c r="F323" s="21">
        <v>49</v>
      </c>
      <c r="G323" s="22">
        <v>82.02</v>
      </c>
      <c r="H323" t="s" s="23">
        <v>19</v>
      </c>
      <c r="I323" s="17"/>
    </row>
    <row r="324" ht="14.65" customHeight="1">
      <c r="A324" t="s" s="11">
        <v>367</v>
      </c>
      <c r="B324" s="12">
        <v>45964</v>
      </c>
      <c r="C324" t="s" s="13">
        <v>34</v>
      </c>
      <c r="D324" t="s" s="13">
        <v>35</v>
      </c>
      <c r="E324" t="s" s="13">
        <v>59</v>
      </c>
      <c r="F324" s="14">
        <v>85</v>
      </c>
      <c r="G324" s="15">
        <v>166.93</v>
      </c>
      <c r="H324" t="s" s="16">
        <v>24</v>
      </c>
      <c r="I324" s="17"/>
    </row>
    <row r="325" ht="14.65" customHeight="1">
      <c r="A325" t="s" s="18">
        <v>368</v>
      </c>
      <c r="B325" s="19">
        <v>45965</v>
      </c>
      <c r="C325" t="s" s="20">
        <v>21</v>
      </c>
      <c r="D325" t="s" s="20">
        <v>51</v>
      </c>
      <c r="E325" t="s" s="20">
        <v>23</v>
      </c>
      <c r="F325" s="21">
        <v>9</v>
      </c>
      <c r="G325" s="22">
        <v>9.08</v>
      </c>
      <c r="H325" t="s" s="23">
        <v>19</v>
      </c>
      <c r="I325" s="17"/>
    </row>
    <row r="326" ht="14.65" customHeight="1">
      <c r="A326" t="s" s="11">
        <v>369</v>
      </c>
      <c r="B326" s="12">
        <v>45967</v>
      </c>
      <c r="C326" t="s" s="13">
        <v>30</v>
      </c>
      <c r="D326" t="s" s="13">
        <v>42</v>
      </c>
      <c r="E326" t="s" s="13">
        <v>32</v>
      </c>
      <c r="F326" s="14">
        <v>21</v>
      </c>
      <c r="G326" s="15">
        <v>25.52</v>
      </c>
      <c r="H326" t="s" s="16">
        <v>19</v>
      </c>
      <c r="I326" s="17"/>
    </row>
    <row r="327" ht="14.65" customHeight="1">
      <c r="A327" t="s" s="18">
        <v>370</v>
      </c>
      <c r="B327" s="19">
        <v>45967</v>
      </c>
      <c r="C327" t="s" s="20">
        <v>34</v>
      </c>
      <c r="D327" t="s" s="20">
        <v>47</v>
      </c>
      <c r="E327" t="s" s="20">
        <v>48</v>
      </c>
      <c r="F327" s="21">
        <v>25</v>
      </c>
      <c r="G327" s="22">
        <v>46.74</v>
      </c>
      <c r="H327" t="s" s="23">
        <v>19</v>
      </c>
      <c r="I327" s="17"/>
    </row>
    <row r="328" ht="14.65" customHeight="1">
      <c r="A328" t="s" s="11">
        <v>371</v>
      </c>
      <c r="B328" s="12">
        <v>45967</v>
      </c>
      <c r="C328" t="s" s="13">
        <v>26</v>
      </c>
      <c r="D328" t="s" s="13">
        <v>27</v>
      </c>
      <c r="E328" t="s" s="13">
        <v>28</v>
      </c>
      <c r="F328" s="14">
        <v>43</v>
      </c>
      <c r="G328" s="15">
        <v>58.78</v>
      </c>
      <c r="H328" t="s" s="16">
        <v>19</v>
      </c>
      <c r="I328" s="17"/>
    </row>
    <row r="329" ht="14.65" customHeight="1">
      <c r="A329" t="s" s="18">
        <v>372</v>
      </c>
      <c r="B329" s="19">
        <v>45968</v>
      </c>
      <c r="C329" t="s" s="20">
        <v>16</v>
      </c>
      <c r="D329" t="s" s="20">
        <v>17</v>
      </c>
      <c r="E329" t="s" s="20">
        <v>36</v>
      </c>
      <c r="F329" s="21">
        <v>16</v>
      </c>
      <c r="G329" s="22">
        <v>26.93</v>
      </c>
      <c r="H329" t="s" s="23">
        <v>19</v>
      </c>
      <c r="I329" s="17"/>
    </row>
    <row r="330" ht="14.65" customHeight="1">
      <c r="A330" t="s" s="11">
        <v>373</v>
      </c>
      <c r="B330" s="12">
        <v>45968</v>
      </c>
      <c r="C330" t="s" s="13">
        <v>26</v>
      </c>
      <c r="D330" t="s" s="13">
        <v>27</v>
      </c>
      <c r="E330" t="s" s="13">
        <v>43</v>
      </c>
      <c r="F330" s="14">
        <v>63</v>
      </c>
      <c r="G330" s="15">
        <v>104</v>
      </c>
      <c r="H330" t="s" s="16">
        <v>24</v>
      </c>
      <c r="I330" s="17"/>
    </row>
    <row r="331" ht="14.65" customHeight="1">
      <c r="A331" t="s" s="18">
        <v>374</v>
      </c>
      <c r="B331" s="19">
        <v>45970</v>
      </c>
      <c r="C331" t="s" s="20">
        <v>26</v>
      </c>
      <c r="D331" t="s" s="20">
        <v>27</v>
      </c>
      <c r="E331" t="s" s="20">
        <v>39</v>
      </c>
      <c r="F331" s="21">
        <v>60</v>
      </c>
      <c r="G331" s="22">
        <v>86.27</v>
      </c>
      <c r="H331" t="s" s="23">
        <v>24</v>
      </c>
      <c r="I331" s="17"/>
    </row>
    <row r="332" ht="14.65" customHeight="1">
      <c r="A332" t="s" s="11">
        <v>375</v>
      </c>
      <c r="B332" s="12">
        <v>45971</v>
      </c>
      <c r="C332" t="s" s="13">
        <v>26</v>
      </c>
      <c r="D332" t="s" s="13">
        <v>45</v>
      </c>
      <c r="E332" t="s" s="13">
        <v>28</v>
      </c>
      <c r="F332" s="14">
        <v>15</v>
      </c>
      <c r="G332" s="15">
        <v>20.94</v>
      </c>
      <c r="H332" t="s" s="16">
        <v>19</v>
      </c>
      <c r="I332" s="17"/>
    </row>
    <row r="333" ht="14.65" customHeight="1">
      <c r="A333" t="s" s="18">
        <v>376</v>
      </c>
      <c r="B333" s="19">
        <v>45972</v>
      </c>
      <c r="C333" t="s" s="20">
        <v>26</v>
      </c>
      <c r="D333" t="s" s="20">
        <v>38</v>
      </c>
      <c r="E333" t="s" s="20">
        <v>39</v>
      </c>
      <c r="F333" s="21">
        <v>64</v>
      </c>
      <c r="G333" s="22">
        <v>90.08</v>
      </c>
      <c r="H333" t="s" s="23">
        <v>24</v>
      </c>
      <c r="I333" s="17"/>
    </row>
    <row r="334" ht="14.65" customHeight="1">
      <c r="A334" t="s" s="11">
        <v>377</v>
      </c>
      <c r="B334" s="12">
        <v>45973</v>
      </c>
      <c r="C334" t="s" s="13">
        <v>30</v>
      </c>
      <c r="D334" t="s" s="13">
        <v>31</v>
      </c>
      <c r="E334" t="s" s="13">
        <v>43</v>
      </c>
      <c r="F334" s="14">
        <v>22</v>
      </c>
      <c r="G334" s="15">
        <v>29.26</v>
      </c>
      <c r="H334" t="s" s="16">
        <v>19</v>
      </c>
      <c r="I334" s="17"/>
    </row>
    <row r="335" ht="14.65" customHeight="1">
      <c r="A335" t="s" s="18">
        <v>378</v>
      </c>
      <c r="B335" s="19">
        <v>45973</v>
      </c>
      <c r="C335" t="s" s="20">
        <v>16</v>
      </c>
      <c r="D335" t="s" s="20">
        <v>17</v>
      </c>
      <c r="E335" t="s" s="20">
        <v>65</v>
      </c>
      <c r="F335" s="21">
        <v>21</v>
      </c>
      <c r="G335" s="22">
        <v>34.71</v>
      </c>
      <c r="H335" t="s" s="23">
        <v>19</v>
      </c>
      <c r="I335" s="17"/>
    </row>
    <row r="336" ht="14.65" customHeight="1">
      <c r="A336" t="s" s="11">
        <v>379</v>
      </c>
      <c r="B336" s="12">
        <v>45974</v>
      </c>
      <c r="C336" t="s" s="13">
        <v>26</v>
      </c>
      <c r="D336" t="s" s="13">
        <v>27</v>
      </c>
      <c r="E336" t="s" s="13">
        <v>39</v>
      </c>
      <c r="F336" s="14">
        <v>34</v>
      </c>
      <c r="G336" s="15">
        <v>51.64</v>
      </c>
      <c r="H336" t="s" s="16">
        <v>19</v>
      </c>
      <c r="I336" s="17"/>
    </row>
    <row r="337" ht="14.65" customHeight="1">
      <c r="A337" t="s" s="18">
        <v>380</v>
      </c>
      <c r="B337" s="19">
        <v>45974</v>
      </c>
      <c r="C337" t="s" s="20">
        <v>34</v>
      </c>
      <c r="D337" t="s" s="20">
        <v>35</v>
      </c>
      <c r="E337" t="s" s="20">
        <v>59</v>
      </c>
      <c r="F337" s="21">
        <v>28</v>
      </c>
      <c r="G337" s="22">
        <v>50.94</v>
      </c>
      <c r="H337" t="s" s="23">
        <v>19</v>
      </c>
      <c r="I337" s="17"/>
    </row>
    <row r="338" ht="14.65" customHeight="1">
      <c r="A338" t="s" s="11">
        <v>381</v>
      </c>
      <c r="B338" s="12">
        <v>45974</v>
      </c>
      <c r="C338" t="s" s="13">
        <v>30</v>
      </c>
      <c r="D338" t="s" s="13">
        <v>31</v>
      </c>
      <c r="E338" t="s" s="13">
        <v>32</v>
      </c>
      <c r="F338" s="14">
        <v>24</v>
      </c>
      <c r="G338" s="15">
        <v>29.06</v>
      </c>
      <c r="H338" t="s" s="16">
        <v>19</v>
      </c>
      <c r="I338" s="17"/>
    </row>
    <row r="339" ht="14.65" customHeight="1">
      <c r="A339" t="s" s="18">
        <v>382</v>
      </c>
      <c r="B339" s="19">
        <v>45974</v>
      </c>
      <c r="C339" t="s" s="20">
        <v>30</v>
      </c>
      <c r="D339" t="s" s="20">
        <v>31</v>
      </c>
      <c r="E339" t="s" s="20">
        <v>43</v>
      </c>
      <c r="F339" s="21">
        <v>31</v>
      </c>
      <c r="G339" s="22">
        <v>38.02</v>
      </c>
      <c r="H339" t="s" s="23">
        <v>19</v>
      </c>
      <c r="I339" s="17"/>
    </row>
    <row r="340" ht="14.65" customHeight="1">
      <c r="A340" t="s" s="11">
        <v>383</v>
      </c>
      <c r="B340" s="12">
        <v>45975</v>
      </c>
      <c r="C340" t="s" s="13">
        <v>16</v>
      </c>
      <c r="D340" t="s" s="13">
        <v>17</v>
      </c>
      <c r="E340" t="s" s="13">
        <v>65</v>
      </c>
      <c r="F340" s="14">
        <v>39</v>
      </c>
      <c r="G340" s="15">
        <v>58.39</v>
      </c>
      <c r="H340" t="s" s="16">
        <v>19</v>
      </c>
      <c r="I340" s="17"/>
    </row>
    <row r="341" ht="14.65" customHeight="1">
      <c r="A341" t="s" s="18">
        <v>384</v>
      </c>
      <c r="B341" s="19">
        <v>45976</v>
      </c>
      <c r="C341" t="s" s="20">
        <v>30</v>
      </c>
      <c r="D341" t="s" s="20">
        <v>31</v>
      </c>
      <c r="E341" t="s" s="20">
        <v>43</v>
      </c>
      <c r="F341" s="21">
        <v>7</v>
      </c>
      <c r="G341" s="22">
        <v>8.75</v>
      </c>
      <c r="H341" t="s" s="23">
        <v>19</v>
      </c>
      <c r="I341" s="17"/>
    </row>
    <row r="342" ht="14.65" customHeight="1">
      <c r="A342" t="s" s="11">
        <v>385</v>
      </c>
      <c r="B342" s="12">
        <v>45979</v>
      </c>
      <c r="C342" t="s" s="13">
        <v>26</v>
      </c>
      <c r="D342" t="s" s="13">
        <v>27</v>
      </c>
      <c r="E342" t="s" s="13">
        <v>39</v>
      </c>
      <c r="F342" s="14">
        <v>37</v>
      </c>
      <c r="G342" s="15">
        <v>61.75</v>
      </c>
      <c r="H342" t="s" s="16">
        <v>19</v>
      </c>
      <c r="I342" s="17"/>
    </row>
    <row r="343" ht="14.65" customHeight="1">
      <c r="A343" t="s" s="18">
        <v>386</v>
      </c>
      <c r="B343" s="19">
        <v>45979</v>
      </c>
      <c r="C343" t="s" s="20">
        <v>30</v>
      </c>
      <c r="D343" t="s" s="20">
        <v>31</v>
      </c>
      <c r="E343" t="s" s="20">
        <v>43</v>
      </c>
      <c r="F343" s="21">
        <v>45</v>
      </c>
      <c r="G343" s="22">
        <v>61.08</v>
      </c>
      <c r="H343" t="s" s="23">
        <v>24</v>
      </c>
      <c r="I343" s="17"/>
    </row>
    <row r="344" ht="14.65" customHeight="1">
      <c r="A344" t="s" s="11">
        <v>387</v>
      </c>
      <c r="B344" s="12">
        <v>45979</v>
      </c>
      <c r="C344" t="s" s="13">
        <v>34</v>
      </c>
      <c r="D344" t="s" s="13">
        <v>47</v>
      </c>
      <c r="E344" t="s" s="13">
        <v>48</v>
      </c>
      <c r="F344" s="14">
        <v>33</v>
      </c>
      <c r="G344" s="15">
        <v>54.12</v>
      </c>
      <c r="H344" t="s" s="16">
        <v>19</v>
      </c>
      <c r="I344" s="17"/>
    </row>
    <row r="345" ht="14.65" customHeight="1">
      <c r="A345" t="s" s="18">
        <v>388</v>
      </c>
      <c r="B345" s="19">
        <v>45980</v>
      </c>
      <c r="C345" t="s" s="20">
        <v>30</v>
      </c>
      <c r="D345" t="s" s="20">
        <v>31</v>
      </c>
      <c r="E345" t="s" s="20">
        <v>70</v>
      </c>
      <c r="F345" s="21">
        <v>25</v>
      </c>
      <c r="G345" s="22">
        <v>30</v>
      </c>
      <c r="H345" t="s" s="23">
        <v>19</v>
      </c>
      <c r="I345" s="17"/>
    </row>
    <row r="346" ht="14.65" customHeight="1">
      <c r="A346" t="s" s="11">
        <v>389</v>
      </c>
      <c r="B346" s="12">
        <v>45980</v>
      </c>
      <c r="C346" t="s" s="13">
        <v>16</v>
      </c>
      <c r="D346" t="s" s="13">
        <v>63</v>
      </c>
      <c r="E346" t="s" s="13">
        <v>36</v>
      </c>
      <c r="F346" s="14">
        <v>22</v>
      </c>
      <c r="G346" s="15">
        <v>38.82</v>
      </c>
      <c r="H346" t="s" s="16">
        <v>19</v>
      </c>
      <c r="I346" s="17"/>
    </row>
    <row r="347" ht="14.65" customHeight="1">
      <c r="A347" t="s" s="18">
        <v>390</v>
      </c>
      <c r="B347" s="19">
        <v>45980</v>
      </c>
      <c r="C347" t="s" s="20">
        <v>34</v>
      </c>
      <c r="D347" t="s" s="20">
        <v>47</v>
      </c>
      <c r="E347" t="s" s="20">
        <v>59</v>
      </c>
      <c r="F347" s="21">
        <v>93</v>
      </c>
      <c r="G347" s="22">
        <v>191.13</v>
      </c>
      <c r="H347" t="s" s="23">
        <v>24</v>
      </c>
      <c r="I347" s="17"/>
    </row>
    <row r="348" ht="14.65" customHeight="1">
      <c r="A348" t="s" s="11">
        <v>391</v>
      </c>
      <c r="B348" s="12">
        <v>45981</v>
      </c>
      <c r="C348" t="s" s="13">
        <v>26</v>
      </c>
      <c r="D348" t="s" s="13">
        <v>45</v>
      </c>
      <c r="E348" t="s" s="13">
        <v>43</v>
      </c>
      <c r="F348" s="14">
        <v>56</v>
      </c>
      <c r="G348" s="15">
        <v>76.78</v>
      </c>
      <c r="H348" t="s" s="16">
        <v>24</v>
      </c>
      <c r="I348" s="17"/>
    </row>
    <row r="349" ht="14.65" customHeight="1">
      <c r="A349" t="s" s="18">
        <v>392</v>
      </c>
      <c r="B349" s="19">
        <v>45981</v>
      </c>
      <c r="C349" t="s" s="20">
        <v>30</v>
      </c>
      <c r="D349" t="s" s="20">
        <v>42</v>
      </c>
      <c r="E349" t="s" s="20">
        <v>43</v>
      </c>
      <c r="F349" s="21">
        <v>37</v>
      </c>
      <c r="G349" s="22">
        <v>46.78</v>
      </c>
      <c r="H349" t="s" s="23">
        <v>19</v>
      </c>
      <c r="I349" s="17"/>
    </row>
    <row r="350" ht="14.65" customHeight="1">
      <c r="A350" t="s" s="11">
        <v>393</v>
      </c>
      <c r="B350" s="12">
        <v>45983</v>
      </c>
      <c r="C350" t="s" s="13">
        <v>21</v>
      </c>
      <c r="D350" t="s" s="13">
        <v>22</v>
      </c>
      <c r="E350" t="s" s="13">
        <v>32</v>
      </c>
      <c r="F350" s="14">
        <v>14</v>
      </c>
      <c r="G350" s="15">
        <v>14.22</v>
      </c>
      <c r="H350" t="s" s="16">
        <v>19</v>
      </c>
      <c r="I350" s="17"/>
    </row>
    <row r="351" ht="14.65" customHeight="1">
      <c r="A351" t="s" s="18">
        <v>394</v>
      </c>
      <c r="B351" s="19">
        <v>45984</v>
      </c>
      <c r="C351" t="s" s="20">
        <v>34</v>
      </c>
      <c r="D351" t="s" s="20">
        <v>35</v>
      </c>
      <c r="E351" t="s" s="20">
        <v>48</v>
      </c>
      <c r="F351" s="21">
        <v>30</v>
      </c>
      <c r="G351" s="22">
        <v>59.19</v>
      </c>
      <c r="H351" t="s" s="23">
        <v>19</v>
      </c>
      <c r="I351" s="17"/>
    </row>
    <row r="352" ht="14.65" customHeight="1">
      <c r="A352" t="s" s="11">
        <v>395</v>
      </c>
      <c r="B352" s="12">
        <v>45985</v>
      </c>
      <c r="C352" t="s" s="13">
        <v>34</v>
      </c>
      <c r="D352" t="s" s="13">
        <v>47</v>
      </c>
      <c r="E352" t="s" s="13">
        <v>48</v>
      </c>
      <c r="F352" s="14">
        <v>57</v>
      </c>
      <c r="G352" s="15">
        <v>109.7</v>
      </c>
      <c r="H352" t="s" s="16">
        <v>19</v>
      </c>
      <c r="I352" s="17"/>
    </row>
    <row r="353" ht="14.65" customHeight="1">
      <c r="A353" t="s" s="18">
        <v>396</v>
      </c>
      <c r="B353" s="19">
        <v>45985</v>
      </c>
      <c r="C353" t="s" s="20">
        <v>16</v>
      </c>
      <c r="D353" t="s" s="20">
        <v>63</v>
      </c>
      <c r="E353" t="s" s="20">
        <v>65</v>
      </c>
      <c r="F353" s="21">
        <v>26</v>
      </c>
      <c r="G353" s="22">
        <v>40.81</v>
      </c>
      <c r="H353" t="s" s="23">
        <v>19</v>
      </c>
      <c r="I353" s="17"/>
    </row>
    <row r="354" ht="14.65" customHeight="1">
      <c r="A354" t="s" s="11">
        <v>397</v>
      </c>
      <c r="B354" s="12">
        <v>45985</v>
      </c>
      <c r="C354" t="s" s="13">
        <v>30</v>
      </c>
      <c r="D354" t="s" s="13">
        <v>42</v>
      </c>
      <c r="E354" t="s" s="13">
        <v>32</v>
      </c>
      <c r="F354" s="14">
        <v>24</v>
      </c>
      <c r="G354" s="15">
        <v>32.79</v>
      </c>
      <c r="H354" t="s" s="16">
        <v>19</v>
      </c>
      <c r="I354" s="17"/>
    </row>
    <row r="355" ht="14.65" customHeight="1">
      <c r="A355" t="s" s="18">
        <v>398</v>
      </c>
      <c r="B355" s="19">
        <v>45985</v>
      </c>
      <c r="C355" t="s" s="20">
        <v>21</v>
      </c>
      <c r="D355" t="s" s="20">
        <v>22</v>
      </c>
      <c r="E355" t="s" s="20">
        <v>52</v>
      </c>
      <c r="F355" s="21">
        <v>18</v>
      </c>
      <c r="G355" s="22">
        <v>18.29</v>
      </c>
      <c r="H355" t="s" s="23">
        <v>19</v>
      </c>
      <c r="I355" s="17"/>
    </row>
    <row r="356" ht="14.65" customHeight="1">
      <c r="A356" t="s" s="11">
        <v>399</v>
      </c>
      <c r="B356" s="12">
        <v>45986</v>
      </c>
      <c r="C356" t="s" s="13">
        <v>34</v>
      </c>
      <c r="D356" t="s" s="13">
        <v>35</v>
      </c>
      <c r="E356" t="s" s="13">
        <v>48</v>
      </c>
      <c r="F356" s="14">
        <v>31</v>
      </c>
      <c r="G356" s="15">
        <v>59.41</v>
      </c>
      <c r="H356" t="s" s="16">
        <v>19</v>
      </c>
      <c r="I356" s="17"/>
    </row>
    <row r="357" ht="14.65" customHeight="1">
      <c r="A357" t="s" s="18">
        <v>400</v>
      </c>
      <c r="B357" s="19">
        <v>45986</v>
      </c>
      <c r="C357" t="s" s="20">
        <v>16</v>
      </c>
      <c r="D357" t="s" s="20">
        <v>17</v>
      </c>
      <c r="E357" t="s" s="20">
        <v>65</v>
      </c>
      <c r="F357" s="21">
        <v>31</v>
      </c>
      <c r="G357" s="22">
        <v>47.25</v>
      </c>
      <c r="H357" t="s" s="23">
        <v>19</v>
      </c>
      <c r="I357" s="17"/>
    </row>
    <row r="358" ht="14.65" customHeight="1">
      <c r="A358" t="s" s="11">
        <v>401</v>
      </c>
      <c r="B358" s="12">
        <v>45986</v>
      </c>
      <c r="C358" t="s" s="13">
        <v>21</v>
      </c>
      <c r="D358" t="s" s="13">
        <v>22</v>
      </c>
      <c r="E358" t="s" s="13">
        <v>23</v>
      </c>
      <c r="F358" s="14">
        <v>25</v>
      </c>
      <c r="G358" s="15">
        <v>31.58</v>
      </c>
      <c r="H358" t="s" s="16">
        <v>19</v>
      </c>
      <c r="I358" s="17"/>
    </row>
    <row r="359" ht="14.65" customHeight="1">
      <c r="A359" t="s" s="18">
        <v>402</v>
      </c>
      <c r="B359" s="19">
        <v>45988</v>
      </c>
      <c r="C359" t="s" s="20">
        <v>21</v>
      </c>
      <c r="D359" t="s" s="20">
        <v>51</v>
      </c>
      <c r="E359" t="s" s="20">
        <v>52</v>
      </c>
      <c r="F359" s="21">
        <v>25</v>
      </c>
      <c r="G359" s="22">
        <v>28.83</v>
      </c>
      <c r="H359" t="s" s="23">
        <v>19</v>
      </c>
      <c r="I359" s="17"/>
    </row>
    <row r="360" ht="14.65" customHeight="1">
      <c r="A360" t="s" s="11">
        <v>403</v>
      </c>
      <c r="B360" s="12">
        <v>45989</v>
      </c>
      <c r="C360" t="s" s="13">
        <v>26</v>
      </c>
      <c r="D360" t="s" s="13">
        <v>45</v>
      </c>
      <c r="E360" t="s" s="13">
        <v>39</v>
      </c>
      <c r="F360" s="14">
        <v>36</v>
      </c>
      <c r="G360" s="15">
        <v>50.02</v>
      </c>
      <c r="H360" t="s" s="16">
        <v>19</v>
      </c>
      <c r="I360" s="17"/>
    </row>
    <row r="361" ht="14.65" customHeight="1">
      <c r="A361" t="s" s="18">
        <v>404</v>
      </c>
      <c r="B361" s="19">
        <v>45989</v>
      </c>
      <c r="C361" t="s" s="20">
        <v>21</v>
      </c>
      <c r="D361" t="s" s="20">
        <v>22</v>
      </c>
      <c r="E361" t="s" s="20">
        <v>52</v>
      </c>
      <c r="F361" s="21">
        <v>20</v>
      </c>
      <c r="G361" s="22">
        <v>22.09</v>
      </c>
      <c r="H361" t="s" s="23">
        <v>19</v>
      </c>
      <c r="I361" s="17"/>
    </row>
    <row r="362" ht="14.65" customHeight="1">
      <c r="A362" t="s" s="11">
        <v>405</v>
      </c>
      <c r="B362" s="12">
        <v>45989</v>
      </c>
      <c r="C362" t="s" s="13">
        <v>34</v>
      </c>
      <c r="D362" t="s" s="13">
        <v>47</v>
      </c>
      <c r="E362" t="s" s="13">
        <v>59</v>
      </c>
      <c r="F362" s="14">
        <v>79</v>
      </c>
      <c r="G362" s="15">
        <v>134.75</v>
      </c>
      <c r="H362" t="s" s="16">
        <v>24</v>
      </c>
      <c r="I362" s="17"/>
    </row>
    <row r="363" ht="14.65" customHeight="1">
      <c r="A363" t="s" s="18">
        <v>406</v>
      </c>
      <c r="B363" s="19">
        <v>45990</v>
      </c>
      <c r="C363" t="s" s="20">
        <v>26</v>
      </c>
      <c r="D363" t="s" s="20">
        <v>38</v>
      </c>
      <c r="E363" t="s" s="20">
        <v>28</v>
      </c>
      <c r="F363" s="21">
        <v>54</v>
      </c>
      <c r="G363" s="22">
        <v>73.68000000000001</v>
      </c>
      <c r="H363" t="s" s="23">
        <v>24</v>
      </c>
      <c r="I363" s="17"/>
    </row>
    <row r="364" ht="14.65" customHeight="1">
      <c r="A364" t="s" s="11">
        <v>407</v>
      </c>
      <c r="B364" s="12">
        <v>45990</v>
      </c>
      <c r="C364" t="s" s="13">
        <v>26</v>
      </c>
      <c r="D364" t="s" s="13">
        <v>45</v>
      </c>
      <c r="E364" t="s" s="13">
        <v>39</v>
      </c>
      <c r="F364" s="14">
        <v>22</v>
      </c>
      <c r="G364" s="15">
        <v>30.51</v>
      </c>
      <c r="H364" t="s" s="16">
        <v>19</v>
      </c>
      <c r="I364" s="17"/>
    </row>
    <row r="365" ht="14.65" customHeight="1">
      <c r="A365" t="s" s="18">
        <v>408</v>
      </c>
      <c r="B365" s="19">
        <v>45991</v>
      </c>
      <c r="C365" t="s" s="20">
        <v>34</v>
      </c>
      <c r="D365" t="s" s="20">
        <v>35</v>
      </c>
      <c r="E365" t="s" s="20">
        <v>48</v>
      </c>
      <c r="F365" s="21">
        <v>53</v>
      </c>
      <c r="G365" s="22">
        <v>89.48999999999999</v>
      </c>
      <c r="H365" t="s" s="23">
        <v>19</v>
      </c>
      <c r="I365" s="17"/>
    </row>
    <row r="366" ht="14.65" customHeight="1">
      <c r="A366" t="s" s="11">
        <v>409</v>
      </c>
      <c r="B366" s="12">
        <v>45991</v>
      </c>
      <c r="C366" t="s" s="13">
        <v>26</v>
      </c>
      <c r="D366" t="s" s="13">
        <v>27</v>
      </c>
      <c r="E366" t="s" s="13">
        <v>39</v>
      </c>
      <c r="F366" s="14">
        <v>48</v>
      </c>
      <c r="G366" s="15">
        <v>73.17</v>
      </c>
      <c r="H366" t="s" s="16">
        <v>19</v>
      </c>
      <c r="I366" s="17"/>
    </row>
    <row r="367" ht="14.65" customHeight="1">
      <c r="A367" t="s" s="18">
        <v>410</v>
      </c>
      <c r="B367" s="19">
        <v>45992</v>
      </c>
      <c r="C367" t="s" s="20">
        <v>26</v>
      </c>
      <c r="D367" t="s" s="20">
        <v>38</v>
      </c>
      <c r="E367" t="s" s="20">
        <v>28</v>
      </c>
      <c r="F367" s="21">
        <v>64</v>
      </c>
      <c r="G367" s="22">
        <v>102.43</v>
      </c>
      <c r="H367" t="s" s="23">
        <v>24</v>
      </c>
      <c r="I367" s="17"/>
    </row>
    <row r="368" ht="14.65" customHeight="1">
      <c r="A368" t="s" s="11">
        <v>411</v>
      </c>
      <c r="B368" s="12">
        <v>45995</v>
      </c>
      <c r="C368" t="s" s="13">
        <v>26</v>
      </c>
      <c r="D368" t="s" s="13">
        <v>38</v>
      </c>
      <c r="E368" t="s" s="13">
        <v>43</v>
      </c>
      <c r="F368" s="14">
        <v>59</v>
      </c>
      <c r="G368" s="15">
        <v>101.19</v>
      </c>
      <c r="H368" t="s" s="16">
        <v>24</v>
      </c>
      <c r="I368" s="17"/>
    </row>
    <row r="369" ht="14.65" customHeight="1">
      <c r="A369" t="s" s="18">
        <v>412</v>
      </c>
      <c r="B369" s="19">
        <v>45995</v>
      </c>
      <c r="C369" t="s" s="20">
        <v>30</v>
      </c>
      <c r="D369" t="s" s="20">
        <v>31</v>
      </c>
      <c r="E369" t="s" s="20">
        <v>43</v>
      </c>
      <c r="F369" s="21">
        <v>28</v>
      </c>
      <c r="G369" s="22">
        <v>38.34</v>
      </c>
      <c r="H369" t="s" s="23">
        <v>19</v>
      </c>
      <c r="I369" s="17"/>
    </row>
    <row r="370" ht="14.65" customHeight="1">
      <c r="A370" t="s" s="11">
        <v>413</v>
      </c>
      <c r="B370" s="12">
        <v>45998</v>
      </c>
      <c r="C370" t="s" s="13">
        <v>21</v>
      </c>
      <c r="D370" t="s" s="13">
        <v>22</v>
      </c>
      <c r="E370" t="s" s="13">
        <v>52</v>
      </c>
      <c r="F370" s="14">
        <v>31</v>
      </c>
      <c r="G370" s="15">
        <v>33.25</v>
      </c>
      <c r="H370" t="s" s="16">
        <v>24</v>
      </c>
      <c r="I370" s="17"/>
    </row>
    <row r="371" ht="14.65" customHeight="1">
      <c r="A371" t="s" s="18">
        <v>414</v>
      </c>
      <c r="B371" s="19">
        <v>45999</v>
      </c>
      <c r="C371" t="s" s="20">
        <v>26</v>
      </c>
      <c r="D371" t="s" s="20">
        <v>38</v>
      </c>
      <c r="E371" t="s" s="20">
        <v>43</v>
      </c>
      <c r="F371" s="21">
        <v>6</v>
      </c>
      <c r="G371" s="22">
        <v>9.32</v>
      </c>
      <c r="H371" t="s" s="23">
        <v>19</v>
      </c>
      <c r="I371" s="17"/>
    </row>
    <row r="372" ht="14.65" customHeight="1">
      <c r="A372" t="s" s="11">
        <v>415</v>
      </c>
      <c r="B372" s="12">
        <v>46001</v>
      </c>
      <c r="C372" t="s" s="13">
        <v>30</v>
      </c>
      <c r="D372" t="s" s="13">
        <v>31</v>
      </c>
      <c r="E372" t="s" s="13">
        <v>43</v>
      </c>
      <c r="F372" s="14">
        <v>21</v>
      </c>
      <c r="G372" s="15">
        <v>23.08</v>
      </c>
      <c r="H372" t="s" s="16">
        <v>19</v>
      </c>
      <c r="I372" s="17"/>
    </row>
    <row r="373" ht="14.65" customHeight="1">
      <c r="A373" t="s" s="18">
        <v>416</v>
      </c>
      <c r="B373" s="19">
        <v>46002</v>
      </c>
      <c r="C373" t="s" s="20">
        <v>34</v>
      </c>
      <c r="D373" t="s" s="20">
        <v>47</v>
      </c>
      <c r="E373" t="s" s="20">
        <v>36</v>
      </c>
      <c r="F373" s="21">
        <v>36</v>
      </c>
      <c r="G373" s="22">
        <v>72.45</v>
      </c>
      <c r="H373" t="s" s="23">
        <v>19</v>
      </c>
      <c r="I373" s="17"/>
    </row>
    <row r="374" ht="14.65" customHeight="1">
      <c r="A374" t="s" s="11">
        <v>417</v>
      </c>
      <c r="B374" s="12">
        <v>46003</v>
      </c>
      <c r="C374" t="s" s="13">
        <v>26</v>
      </c>
      <c r="D374" t="s" s="13">
        <v>45</v>
      </c>
      <c r="E374" t="s" s="13">
        <v>43</v>
      </c>
      <c r="F374" s="14">
        <v>31</v>
      </c>
      <c r="G374" s="15">
        <v>43.82</v>
      </c>
      <c r="H374" t="s" s="16">
        <v>19</v>
      </c>
      <c r="I374" s="17"/>
    </row>
    <row r="375" ht="14.65" customHeight="1">
      <c r="A375" t="s" s="18">
        <v>418</v>
      </c>
      <c r="B375" s="19">
        <v>46003</v>
      </c>
      <c r="C375" t="s" s="20">
        <v>21</v>
      </c>
      <c r="D375" t="s" s="20">
        <v>22</v>
      </c>
      <c r="E375" t="s" s="20">
        <v>32</v>
      </c>
      <c r="F375" s="21">
        <v>16</v>
      </c>
      <c r="G375" s="22">
        <v>19.32</v>
      </c>
      <c r="H375" t="s" s="23">
        <v>19</v>
      </c>
      <c r="I375" s="17"/>
    </row>
    <row r="376" ht="14.65" customHeight="1">
      <c r="A376" t="s" s="11">
        <v>419</v>
      </c>
      <c r="B376" s="12">
        <v>46005</v>
      </c>
      <c r="C376" t="s" s="13">
        <v>34</v>
      </c>
      <c r="D376" t="s" s="13">
        <v>35</v>
      </c>
      <c r="E376" t="s" s="13">
        <v>48</v>
      </c>
      <c r="F376" s="14">
        <v>33</v>
      </c>
      <c r="G376" s="15">
        <v>66.06</v>
      </c>
      <c r="H376" t="s" s="16">
        <v>19</v>
      </c>
      <c r="I376" s="17"/>
    </row>
    <row r="377" ht="14.65" customHeight="1">
      <c r="A377" t="s" s="18">
        <v>420</v>
      </c>
      <c r="B377" s="19">
        <v>46005</v>
      </c>
      <c r="C377" t="s" s="20">
        <v>16</v>
      </c>
      <c r="D377" t="s" s="20">
        <v>63</v>
      </c>
      <c r="E377" t="s" s="20">
        <v>36</v>
      </c>
      <c r="F377" s="21">
        <v>56</v>
      </c>
      <c r="G377" s="22">
        <v>88.84999999999999</v>
      </c>
      <c r="H377" t="s" s="23">
        <v>24</v>
      </c>
      <c r="I377" s="17"/>
    </row>
    <row r="378" ht="14.65" customHeight="1">
      <c r="A378" t="s" s="11">
        <v>421</v>
      </c>
      <c r="B378" s="12">
        <v>46006</v>
      </c>
      <c r="C378" t="s" s="13">
        <v>16</v>
      </c>
      <c r="D378" t="s" s="13">
        <v>17</v>
      </c>
      <c r="E378" t="s" s="13">
        <v>65</v>
      </c>
      <c r="F378" s="14">
        <v>52</v>
      </c>
      <c r="G378" s="15">
        <v>81.95999999999999</v>
      </c>
      <c r="H378" t="s" s="16">
        <v>24</v>
      </c>
      <c r="I378" s="17"/>
    </row>
    <row r="379" ht="14.65" customHeight="1">
      <c r="A379" t="s" s="18">
        <v>422</v>
      </c>
      <c r="B379" s="19">
        <v>46006</v>
      </c>
      <c r="C379" t="s" s="20">
        <v>21</v>
      </c>
      <c r="D379" t="s" s="20">
        <v>51</v>
      </c>
      <c r="E379" t="s" s="20">
        <v>52</v>
      </c>
      <c r="F379" s="21">
        <v>38</v>
      </c>
      <c r="G379" s="22">
        <v>44.37</v>
      </c>
      <c r="H379" t="s" s="23">
        <v>24</v>
      </c>
      <c r="I379" s="17"/>
    </row>
    <row r="380" ht="14.65" customHeight="1">
      <c r="A380" t="s" s="11">
        <v>423</v>
      </c>
      <c r="B380" s="12">
        <v>46007</v>
      </c>
      <c r="C380" t="s" s="13">
        <v>30</v>
      </c>
      <c r="D380" t="s" s="13">
        <v>42</v>
      </c>
      <c r="E380" t="s" s="13">
        <v>43</v>
      </c>
      <c r="F380" s="14">
        <v>28</v>
      </c>
      <c r="G380" s="15">
        <v>33.43</v>
      </c>
      <c r="H380" t="s" s="16">
        <v>19</v>
      </c>
      <c r="I380" s="17"/>
    </row>
    <row r="381" ht="14.65" customHeight="1">
      <c r="A381" t="s" s="18">
        <v>424</v>
      </c>
      <c r="B381" s="19">
        <v>46008</v>
      </c>
      <c r="C381" t="s" s="20">
        <v>21</v>
      </c>
      <c r="D381" t="s" s="20">
        <v>51</v>
      </c>
      <c r="E381" t="s" s="20">
        <v>52</v>
      </c>
      <c r="F381" s="21">
        <v>7</v>
      </c>
      <c r="G381" s="22">
        <v>8.220000000000001</v>
      </c>
      <c r="H381" t="s" s="23">
        <v>19</v>
      </c>
      <c r="I381" s="17"/>
    </row>
    <row r="382" ht="14.65" customHeight="1">
      <c r="A382" t="s" s="11">
        <v>425</v>
      </c>
      <c r="B382" s="12">
        <v>46010</v>
      </c>
      <c r="C382" t="s" s="13">
        <v>34</v>
      </c>
      <c r="D382" t="s" s="13">
        <v>47</v>
      </c>
      <c r="E382" t="s" s="13">
        <v>59</v>
      </c>
      <c r="F382" s="14">
        <v>38</v>
      </c>
      <c r="G382" s="15">
        <v>71.93000000000001</v>
      </c>
      <c r="H382" t="s" s="16">
        <v>19</v>
      </c>
      <c r="I382" s="17"/>
    </row>
    <row r="383" ht="14.65" customHeight="1">
      <c r="A383" t="s" s="18">
        <v>426</v>
      </c>
      <c r="B383" s="19">
        <v>46011</v>
      </c>
      <c r="C383" t="s" s="20">
        <v>26</v>
      </c>
      <c r="D383" t="s" s="20">
        <v>38</v>
      </c>
      <c r="E383" t="s" s="20">
        <v>43</v>
      </c>
      <c r="F383" s="21">
        <v>48</v>
      </c>
      <c r="G383" s="22">
        <v>73.52</v>
      </c>
      <c r="H383" t="s" s="23">
        <v>19</v>
      </c>
      <c r="I383" s="17"/>
    </row>
    <row r="384" ht="14.65" customHeight="1">
      <c r="A384" t="s" s="11">
        <v>427</v>
      </c>
      <c r="B384" s="12">
        <v>46011</v>
      </c>
      <c r="C384" t="s" s="13">
        <v>26</v>
      </c>
      <c r="D384" t="s" s="13">
        <v>45</v>
      </c>
      <c r="E384" t="s" s="13">
        <v>28</v>
      </c>
      <c r="F384" s="14">
        <v>71</v>
      </c>
      <c r="G384" s="15">
        <v>98.69</v>
      </c>
      <c r="H384" t="s" s="16">
        <v>24</v>
      </c>
      <c r="I384" s="17"/>
    </row>
    <row r="385" ht="14.65" customHeight="1">
      <c r="A385" t="s" s="18">
        <v>428</v>
      </c>
      <c r="B385" s="19">
        <v>46011</v>
      </c>
      <c r="C385" t="s" s="20">
        <v>26</v>
      </c>
      <c r="D385" t="s" s="20">
        <v>45</v>
      </c>
      <c r="E385" t="s" s="20">
        <v>39</v>
      </c>
      <c r="F385" s="21">
        <v>15</v>
      </c>
      <c r="G385" s="22">
        <v>25.6</v>
      </c>
      <c r="H385" t="s" s="23">
        <v>19</v>
      </c>
      <c r="I385" s="17"/>
    </row>
    <row r="386" ht="14.65" customHeight="1">
      <c r="A386" t="s" s="11">
        <v>429</v>
      </c>
      <c r="B386" s="12">
        <v>46011</v>
      </c>
      <c r="C386" t="s" s="13">
        <v>16</v>
      </c>
      <c r="D386" t="s" s="13">
        <v>17</v>
      </c>
      <c r="E386" t="s" s="13">
        <v>18</v>
      </c>
      <c r="F386" s="14">
        <v>16</v>
      </c>
      <c r="G386" s="15">
        <v>28.13</v>
      </c>
      <c r="H386" t="s" s="16">
        <v>19</v>
      </c>
      <c r="I386" s="17"/>
    </row>
    <row r="387" ht="14.65" customHeight="1">
      <c r="A387" t="s" s="18">
        <v>430</v>
      </c>
      <c r="B387" s="19">
        <v>46014</v>
      </c>
      <c r="C387" t="s" s="20">
        <v>21</v>
      </c>
      <c r="D387" t="s" s="20">
        <v>22</v>
      </c>
      <c r="E387" t="s" s="20">
        <v>32</v>
      </c>
      <c r="F387" s="21">
        <v>25</v>
      </c>
      <c r="G387" s="22">
        <v>25.15</v>
      </c>
      <c r="H387" t="s" s="23">
        <v>19</v>
      </c>
      <c r="I387" s="17"/>
    </row>
    <row r="388" ht="14.65" customHeight="1">
      <c r="A388" t="s" s="11">
        <v>431</v>
      </c>
      <c r="B388" s="12">
        <v>46014</v>
      </c>
      <c r="C388" t="s" s="13">
        <v>30</v>
      </c>
      <c r="D388" t="s" s="13">
        <v>42</v>
      </c>
      <c r="E388" t="s" s="13">
        <v>43</v>
      </c>
      <c r="F388" s="14">
        <v>21</v>
      </c>
      <c r="G388" s="15">
        <v>24.25</v>
      </c>
      <c r="H388" t="s" s="16">
        <v>19</v>
      </c>
      <c r="I388" s="17"/>
    </row>
    <row r="389" ht="14.65" customHeight="1">
      <c r="A389" t="s" s="18">
        <v>432</v>
      </c>
      <c r="B389" s="19">
        <v>46014</v>
      </c>
      <c r="C389" t="s" s="20">
        <v>21</v>
      </c>
      <c r="D389" t="s" s="20">
        <v>22</v>
      </c>
      <c r="E389" t="s" s="20">
        <v>52</v>
      </c>
      <c r="F389" s="21">
        <v>34</v>
      </c>
      <c r="G389" s="22">
        <v>40.6</v>
      </c>
      <c r="H389" t="s" s="23">
        <v>24</v>
      </c>
      <c r="I389" s="17"/>
    </row>
    <row r="390" ht="14.65" customHeight="1">
      <c r="A390" t="s" s="11">
        <v>433</v>
      </c>
      <c r="B390" s="12">
        <v>46014</v>
      </c>
      <c r="C390" t="s" s="13">
        <v>26</v>
      </c>
      <c r="D390" t="s" s="13">
        <v>27</v>
      </c>
      <c r="E390" t="s" s="13">
        <v>28</v>
      </c>
      <c r="F390" s="14">
        <v>22</v>
      </c>
      <c r="G390" s="15">
        <v>35.97</v>
      </c>
      <c r="H390" t="s" s="16">
        <v>19</v>
      </c>
      <c r="I390" s="17"/>
    </row>
    <row r="391" ht="14.65" customHeight="1">
      <c r="A391" t="s" s="18">
        <v>434</v>
      </c>
      <c r="B391" s="19">
        <v>46016</v>
      </c>
      <c r="C391" t="s" s="20">
        <v>26</v>
      </c>
      <c r="D391" t="s" s="20">
        <v>45</v>
      </c>
      <c r="E391" t="s" s="20">
        <v>28</v>
      </c>
      <c r="F391" s="21">
        <v>22</v>
      </c>
      <c r="G391" s="22">
        <v>30.85</v>
      </c>
      <c r="H391" t="s" s="23">
        <v>19</v>
      </c>
      <c r="I391" s="17"/>
    </row>
    <row r="392" ht="14.65" customHeight="1">
      <c r="A392" t="s" s="11">
        <v>435</v>
      </c>
      <c r="B392" s="12">
        <v>46016</v>
      </c>
      <c r="C392" t="s" s="13">
        <v>34</v>
      </c>
      <c r="D392" t="s" s="13">
        <v>35</v>
      </c>
      <c r="E392" t="s" s="13">
        <v>59</v>
      </c>
      <c r="F392" s="14">
        <v>47</v>
      </c>
      <c r="G392" s="15">
        <v>90.73999999999999</v>
      </c>
      <c r="H392" t="s" s="16">
        <v>19</v>
      </c>
      <c r="I392" s="17"/>
    </row>
    <row r="393" ht="14.65" customHeight="1">
      <c r="A393" t="s" s="18">
        <v>436</v>
      </c>
      <c r="B393" s="19">
        <v>46017</v>
      </c>
      <c r="C393" t="s" s="20">
        <v>34</v>
      </c>
      <c r="D393" t="s" s="20">
        <v>35</v>
      </c>
      <c r="E393" t="s" s="20">
        <v>59</v>
      </c>
      <c r="F393" s="21">
        <v>23</v>
      </c>
      <c r="G393" s="22">
        <v>39.56</v>
      </c>
      <c r="H393" t="s" s="23">
        <v>19</v>
      </c>
      <c r="I393" s="17"/>
    </row>
    <row r="394" ht="14.65" customHeight="1">
      <c r="A394" t="s" s="11">
        <v>437</v>
      </c>
      <c r="B394" s="12">
        <v>46017</v>
      </c>
      <c r="C394" t="s" s="13">
        <v>21</v>
      </c>
      <c r="D394" t="s" s="13">
        <v>51</v>
      </c>
      <c r="E394" t="s" s="13">
        <v>52</v>
      </c>
      <c r="F394" s="14">
        <v>15</v>
      </c>
      <c r="G394" s="15">
        <v>18.76</v>
      </c>
      <c r="H394" t="s" s="16">
        <v>19</v>
      </c>
      <c r="I394" s="17"/>
    </row>
    <row r="395" ht="14.65" customHeight="1">
      <c r="A395" t="s" s="18">
        <v>438</v>
      </c>
      <c r="B395" s="19">
        <v>46017</v>
      </c>
      <c r="C395" t="s" s="20">
        <v>34</v>
      </c>
      <c r="D395" t="s" s="20">
        <v>35</v>
      </c>
      <c r="E395" t="s" s="20">
        <v>59</v>
      </c>
      <c r="F395" s="21">
        <v>38</v>
      </c>
      <c r="G395" s="22">
        <v>67.36</v>
      </c>
      <c r="H395" t="s" s="23">
        <v>19</v>
      </c>
      <c r="I395" s="17"/>
    </row>
    <row r="396" ht="14.65" customHeight="1">
      <c r="A396" t="s" s="11">
        <v>439</v>
      </c>
      <c r="B396" s="12">
        <v>46018</v>
      </c>
      <c r="C396" t="s" s="13">
        <v>21</v>
      </c>
      <c r="D396" t="s" s="13">
        <v>22</v>
      </c>
      <c r="E396" t="s" s="13">
        <v>32</v>
      </c>
      <c r="F396" s="14">
        <v>16</v>
      </c>
      <c r="G396" s="15">
        <v>16.04</v>
      </c>
      <c r="H396" t="s" s="16">
        <v>19</v>
      </c>
      <c r="I396" s="17"/>
    </row>
    <row r="397" ht="14.65" customHeight="1">
      <c r="A397" t="s" s="18">
        <v>440</v>
      </c>
      <c r="B397" s="19">
        <v>46018</v>
      </c>
      <c r="C397" t="s" s="20">
        <v>26</v>
      </c>
      <c r="D397" t="s" s="20">
        <v>27</v>
      </c>
      <c r="E397" t="s" s="20">
        <v>28</v>
      </c>
      <c r="F397" s="21">
        <v>59</v>
      </c>
      <c r="G397" s="22">
        <v>90.83</v>
      </c>
      <c r="H397" t="s" s="23">
        <v>24</v>
      </c>
      <c r="I397" s="17"/>
    </row>
    <row r="398" ht="14.65" customHeight="1">
      <c r="A398" t="s" s="11">
        <v>441</v>
      </c>
      <c r="B398" s="12">
        <v>46019</v>
      </c>
      <c r="C398" t="s" s="13">
        <v>34</v>
      </c>
      <c r="D398" t="s" s="13">
        <v>35</v>
      </c>
      <c r="E398" t="s" s="13">
        <v>36</v>
      </c>
      <c r="F398" s="14">
        <v>38</v>
      </c>
      <c r="G398" s="15">
        <v>70.55</v>
      </c>
      <c r="H398" t="s" s="16">
        <v>19</v>
      </c>
      <c r="I398" s="17"/>
    </row>
    <row r="399" ht="14.65" customHeight="1">
      <c r="A399" t="s" s="18">
        <v>442</v>
      </c>
      <c r="B399" s="19">
        <v>46020</v>
      </c>
      <c r="C399" t="s" s="20">
        <v>30</v>
      </c>
      <c r="D399" t="s" s="20">
        <v>31</v>
      </c>
      <c r="E399" t="s" s="20">
        <v>32</v>
      </c>
      <c r="F399" s="21">
        <v>47</v>
      </c>
      <c r="G399" s="22">
        <v>55.95</v>
      </c>
      <c r="H399" t="s" s="23">
        <v>24</v>
      </c>
      <c r="I399" s="17"/>
    </row>
    <row r="400" ht="14.65" customHeight="1">
      <c r="A400" t="s" s="11">
        <v>443</v>
      </c>
      <c r="B400" s="12">
        <v>46022</v>
      </c>
      <c r="C400" t="s" s="13">
        <v>30</v>
      </c>
      <c r="D400" t="s" s="13">
        <v>42</v>
      </c>
      <c r="E400" t="s" s="13">
        <v>32</v>
      </c>
      <c r="F400" s="14">
        <v>25</v>
      </c>
      <c r="G400" s="15">
        <v>29.21</v>
      </c>
      <c r="H400" t="s" s="16">
        <v>19</v>
      </c>
      <c r="I400" s="17"/>
    </row>
    <row r="401" ht="13.55" customHeight="1">
      <c r="A401" s="24"/>
      <c r="B401" s="24"/>
      <c r="C401" s="24"/>
      <c r="D401" s="24"/>
      <c r="E401" s="24"/>
      <c r="F401" s="24"/>
      <c r="G401" s="24"/>
      <c r="H401" s="24"/>
      <c r="I401" s="2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L413"/>
  <sheetViews>
    <sheetView workbookViewId="0" showGridLines="0" defaultGridColor="1"/>
  </sheetViews>
  <sheetFormatPr defaultColWidth="8.83333" defaultRowHeight="15" customHeight="1" outlineLevelRow="0" outlineLevelCol="0"/>
  <cols>
    <col min="1" max="1" width="15.6719" style="26" customWidth="1"/>
    <col min="2" max="2" width="18.5" style="26" customWidth="1"/>
    <col min="3" max="3" width="17.8516" style="26" customWidth="1"/>
    <col min="4" max="4" width="21.3516" style="26" customWidth="1"/>
    <col min="5" max="5" width="25.6719" style="26" customWidth="1"/>
    <col min="6" max="6" width="31.5" style="26" customWidth="1"/>
    <col min="7" max="7" width="15" style="26" customWidth="1"/>
    <col min="8" max="8" width="17" style="26" customWidth="1"/>
    <col min="9" max="9" width="26" style="26" customWidth="1"/>
    <col min="10" max="10" width="36.3516" style="26" customWidth="1"/>
    <col min="11" max="11" width="13.1719" style="26" customWidth="1"/>
    <col min="12" max="12" width="27.3516" style="26" customWidth="1"/>
    <col min="13" max="16384" width="8.85156" style="26" customWidth="1"/>
  </cols>
  <sheetData>
    <row r="1" ht="18.5" customHeight="1">
      <c r="A1" t="s" s="27">
        <v>6</v>
      </c>
      <c r="B1" t="s" s="28">
        <v>7</v>
      </c>
      <c r="C1" t="s" s="28">
        <v>8</v>
      </c>
      <c r="D1" t="s" s="28">
        <v>9</v>
      </c>
      <c r="E1" t="s" s="29">
        <v>10</v>
      </c>
      <c r="F1" t="s" s="30">
        <v>11</v>
      </c>
      <c r="G1" t="s" s="31">
        <v>12</v>
      </c>
      <c r="H1" t="s" s="32">
        <v>13</v>
      </c>
      <c r="I1" t="s" s="33">
        <v>445</v>
      </c>
      <c r="J1" t="s" s="34">
        <v>446</v>
      </c>
      <c r="K1" t="s" s="34">
        <v>447</v>
      </c>
      <c r="L1" t="s" s="35">
        <v>448</v>
      </c>
    </row>
    <row r="2" ht="18.5" customHeight="1">
      <c r="A2" t="s" s="36">
        <v>15</v>
      </c>
      <c r="B2" s="37">
        <v>45658</v>
      </c>
      <c r="C2" t="s" s="38">
        <v>16</v>
      </c>
      <c r="D2" t="s" s="38">
        <v>17</v>
      </c>
      <c r="E2" t="s" s="38">
        <v>18</v>
      </c>
      <c r="F2" s="39">
        <v>28</v>
      </c>
      <c r="G2" s="40">
        <v>40.93</v>
      </c>
      <c r="H2" t="s" s="38">
        <v>19</v>
      </c>
      <c r="I2" s="41" cm="1">
        <f t="array" ref="I2">IF(F2=0,"",G2/F2)</f>
        <v>1.46178571428571</v>
      </c>
      <c r="J2" t="str" s="42" cm="1">
        <f t="array" ref="J2">CHOOSE(MIN(6,INT(F2/20)+1),"0–20","20–40","40–60","60–80","80–100","100–120")</f>
        <v>20–40</v>
      </c>
      <c r="K2" t="str" s="42" cm="1">
        <f t="array" ref="K2">CHOOSE(MATCH(F2,{0;20;40;60;80;100}),"0–20","20–40","40–60","60–80","80–100","100–120")</f>
        <v>20–40</v>
      </c>
      <c r="L2" t="b" s="43" cm="1">
        <f t="array" ref="L2">ISBLANK(F2)</f>
        <v>0</v>
      </c>
    </row>
    <row r="3" ht="18.5" customHeight="1">
      <c r="A3" t="s" s="44">
        <v>20</v>
      </c>
      <c r="B3" s="45">
        <v>45661</v>
      </c>
      <c r="C3" t="s" s="46">
        <v>21</v>
      </c>
      <c r="D3" t="s" s="46">
        <v>22</v>
      </c>
      <c r="E3" t="s" s="46">
        <v>23</v>
      </c>
      <c r="F3" s="47">
        <v>32</v>
      </c>
      <c r="G3" s="48">
        <v>35.37</v>
      </c>
      <c r="H3" t="s" s="49">
        <v>24</v>
      </c>
      <c r="I3" s="50" cm="1">
        <f t="array" ref="I3">IF(F3=0,"",G3/F3)</f>
        <v>1.1053125</v>
      </c>
      <c r="J3" t="str" s="42" cm="1">
        <f t="array" ref="J3">CHOOSE(MIN(6,INT(F3/20)+1),"0–20","20–40","40–60","60–80","80–100","100–120")</f>
        <v>20–40</v>
      </c>
      <c r="K3" t="str" s="42" cm="1">
        <f t="array" ref="K3">CHOOSE(MATCH(F3,{0;20;40;60;80;100}),"0–20","20–40","40–60","60–80","80–100","100–120")</f>
        <v>20–40</v>
      </c>
      <c r="L3" t="b" s="43" cm="1">
        <f t="array" ref="L3">ISBLANK(F3)</f>
        <v>0</v>
      </c>
    </row>
    <row r="4" ht="18.5" customHeight="1">
      <c r="A4" t="s" s="36">
        <v>25</v>
      </c>
      <c r="B4" s="37">
        <v>45661</v>
      </c>
      <c r="C4" t="s" s="38">
        <v>26</v>
      </c>
      <c r="D4" t="s" s="38">
        <v>27</v>
      </c>
      <c r="E4" t="s" s="38">
        <v>28</v>
      </c>
      <c r="F4" s="39">
        <v>42</v>
      </c>
      <c r="G4" s="40">
        <v>60.14</v>
      </c>
      <c r="H4" t="s" s="38">
        <v>19</v>
      </c>
      <c r="I4" s="41" cm="1">
        <f t="array" ref="I4">IF(F4=0,"",G4/F4)</f>
        <v>1.43190476190476</v>
      </c>
      <c r="J4" t="str" s="42" cm="1">
        <f t="array" ref="J4">CHOOSE(MIN(6,INT(F4/20)+1),"0–20","20–40","40–60","60–80","80–100","100–120")</f>
        <v>40–60</v>
      </c>
      <c r="K4" t="str" s="42" cm="1">
        <f t="array" ref="K4">CHOOSE(MATCH(F4,{0;20;40;60;80;100}),"0–20","20–40","40–60","60–80","80–100","100–120")</f>
        <v>40–60</v>
      </c>
      <c r="L4" t="b" s="43" cm="1">
        <f t="array" ref="L4">ISBLANK(F4)</f>
        <v>0</v>
      </c>
    </row>
    <row r="5" ht="18.5" customHeight="1">
      <c r="A5" t="s" s="44">
        <v>29</v>
      </c>
      <c r="B5" s="45">
        <v>45661</v>
      </c>
      <c r="C5" t="s" s="46">
        <v>30</v>
      </c>
      <c r="D5" t="s" s="46">
        <v>31</v>
      </c>
      <c r="E5" t="s" s="46">
        <v>32</v>
      </c>
      <c r="F5" s="47">
        <v>41</v>
      </c>
      <c r="G5" s="48">
        <v>50.87</v>
      </c>
      <c r="H5" t="s" s="49">
        <v>24</v>
      </c>
      <c r="I5" s="50" cm="1">
        <f t="array" ref="I5">IF(F5=0,"",G5/F5)</f>
        <v>1.24073170731707</v>
      </c>
      <c r="J5" t="str" s="42" cm="1">
        <f t="array" ref="J5">CHOOSE(MIN(6,INT(F5/20)+1),"0–20","20–40","40–60","60–80","80–100","100–120")</f>
        <v>40–60</v>
      </c>
      <c r="K5" t="str" s="42" cm="1">
        <f t="array" ref="K5">CHOOSE(MATCH(F5,{0;20;40;60;80;100}),"0–20","20–40","40–60","60–80","80–100","100–120")</f>
        <v>40–60</v>
      </c>
      <c r="L5" t="b" s="43" cm="1">
        <f t="array" ref="L5">ISBLANK(F5)</f>
        <v>0</v>
      </c>
    </row>
    <row r="6" ht="18.5" customHeight="1">
      <c r="A6" t="s" s="36">
        <v>33</v>
      </c>
      <c r="B6" s="37">
        <v>45662</v>
      </c>
      <c r="C6" t="s" s="38">
        <v>34</v>
      </c>
      <c r="D6" t="s" s="38">
        <v>35</v>
      </c>
      <c r="E6" t="s" s="38">
        <v>36</v>
      </c>
      <c r="F6" s="39">
        <v>22</v>
      </c>
      <c r="G6" s="40">
        <v>36</v>
      </c>
      <c r="H6" t="s" s="38">
        <v>19</v>
      </c>
      <c r="I6" s="41" cm="1">
        <f t="array" ref="I6">IF(F6=0,"",G6/F6)</f>
        <v>1.63636363636364</v>
      </c>
      <c r="J6" t="str" s="42" cm="1">
        <f t="array" ref="J6">CHOOSE(MIN(6,INT(F6/20)+1),"0–20","20–40","40–60","60–80","80–100","100–120")</f>
        <v>20–40</v>
      </c>
      <c r="K6" t="str" s="42" cm="1">
        <f t="array" ref="K6">CHOOSE(MATCH(F6,{0;20;40;60;80;100}),"0–20","20–40","40–60","60–80","80–100","100–120")</f>
        <v>20–40</v>
      </c>
      <c r="L6" t="b" s="43" cm="1">
        <f t="array" ref="L6">ISBLANK(F6)</f>
        <v>0</v>
      </c>
    </row>
    <row r="7" ht="18.5" customHeight="1">
      <c r="A7" t="s" s="44">
        <v>37</v>
      </c>
      <c r="B7" s="45">
        <v>45665</v>
      </c>
      <c r="C7" t="s" s="46">
        <v>26</v>
      </c>
      <c r="D7" t="s" s="46">
        <v>38</v>
      </c>
      <c r="E7" t="s" s="46">
        <v>39</v>
      </c>
      <c r="F7" s="47">
        <v>19</v>
      </c>
      <c r="G7" s="48">
        <v>27.52</v>
      </c>
      <c r="H7" t="s" s="49">
        <v>19</v>
      </c>
      <c r="I7" s="50" cm="1">
        <f t="array" ref="I7">IF(F7=0,"",G7/F7)</f>
        <v>1.44842105263158</v>
      </c>
      <c r="J7" t="str" s="42" cm="1">
        <f t="array" ref="J7">CHOOSE(MIN(6,INT(F7/20)+1),"0–20","20–40","40–60","60–80","80–100","100–120")</f>
        <v>0–20</v>
      </c>
      <c r="K7" t="str" s="42" cm="1">
        <f t="array" ref="K7">CHOOSE(MATCH(F7,{0;20;40;60;80;100}),"0–20","20–40","40–60","60–80","80–100","100–120")</f>
        <v>0–20</v>
      </c>
      <c r="L7" t="b" s="43" cm="1">
        <f t="array" ref="L7">ISBLANK(F7)</f>
        <v>0</v>
      </c>
    </row>
    <row r="8" ht="18.5" customHeight="1">
      <c r="A8" t="s" s="36">
        <v>40</v>
      </c>
      <c r="B8" s="37">
        <v>45666</v>
      </c>
      <c r="C8" t="s" s="38">
        <v>26</v>
      </c>
      <c r="D8" t="s" s="38">
        <v>38</v>
      </c>
      <c r="E8" t="s" s="38">
        <v>28</v>
      </c>
      <c r="F8" s="39">
        <v>22</v>
      </c>
      <c r="G8" s="40">
        <v>35.24</v>
      </c>
      <c r="H8" t="s" s="38">
        <v>19</v>
      </c>
      <c r="I8" s="41" cm="1">
        <f t="array" ref="I8">IF(F8=0,"",G8/F8)</f>
        <v>1.60181818181818</v>
      </c>
      <c r="J8" t="str" s="42" cm="1">
        <f t="array" ref="J8">CHOOSE(MIN(6,INT(F8/20)+1),"0–20","20–40","40–60","60–80","80–100","100–120")</f>
        <v>20–40</v>
      </c>
      <c r="K8" t="str" s="42" cm="1">
        <f t="array" ref="K8">CHOOSE(MATCH(F8,{0;20;40;60;80;100}),"0–20","20–40","40–60","60–80","80–100","100–120")</f>
        <v>20–40</v>
      </c>
      <c r="L8" t="b" s="43" cm="1">
        <f t="array" ref="L8">ISBLANK(F8)</f>
        <v>0</v>
      </c>
    </row>
    <row r="9" ht="18.5" customHeight="1">
      <c r="A9" t="s" s="44">
        <v>41</v>
      </c>
      <c r="B9" s="45">
        <v>45668</v>
      </c>
      <c r="C9" t="s" s="46">
        <v>30</v>
      </c>
      <c r="D9" t="s" s="46">
        <v>42</v>
      </c>
      <c r="E9" t="s" s="46">
        <v>43</v>
      </c>
      <c r="F9" s="47">
        <v>27</v>
      </c>
      <c r="G9" s="48">
        <v>30.94</v>
      </c>
      <c r="H9" t="s" s="49">
        <v>19</v>
      </c>
      <c r="I9" s="50" cm="1">
        <f t="array" ref="I9">IF(F9=0,"",G9/F9)</f>
        <v>1.14592592592593</v>
      </c>
      <c r="J9" t="str" s="42" cm="1">
        <f t="array" ref="J9">CHOOSE(MIN(6,INT(F9/20)+1),"0–20","20–40","40–60","60–80","80–100","100–120")</f>
        <v>20–40</v>
      </c>
      <c r="K9" t="str" s="42" cm="1">
        <f t="array" ref="K9">CHOOSE(MATCH(F9,{0;20;40;60;80;100}),"0–20","20–40","40–60","60–80","80–100","100–120")</f>
        <v>20–40</v>
      </c>
      <c r="L9" t="b" s="43" cm="1">
        <f t="array" ref="L9">ISBLANK(F9)</f>
        <v>0</v>
      </c>
    </row>
    <row r="10" ht="18.5" customHeight="1">
      <c r="A10" t="s" s="36">
        <v>44</v>
      </c>
      <c r="B10" s="37">
        <v>45668</v>
      </c>
      <c r="C10" t="s" s="38">
        <v>26</v>
      </c>
      <c r="D10" t="s" s="38">
        <v>45</v>
      </c>
      <c r="E10" t="s" s="38">
        <v>28</v>
      </c>
      <c r="F10" s="39">
        <v>28</v>
      </c>
      <c r="G10" s="40">
        <v>44.47</v>
      </c>
      <c r="H10" t="s" s="38">
        <v>19</v>
      </c>
      <c r="I10" s="41" cm="1">
        <f t="array" ref="I10">IF(F10=0,"",G10/F10)</f>
        <v>1.58821428571429</v>
      </c>
      <c r="J10" t="str" s="42" cm="1">
        <f t="array" ref="J10">CHOOSE(MIN(6,INT(F10/20)+1),"0–20","20–40","40–60","60–80","80–100","100–120")</f>
        <v>20–40</v>
      </c>
      <c r="K10" t="str" s="42" cm="1">
        <f t="array" ref="K10">CHOOSE(MATCH(F10,{0;20;40;60;80;100}),"0–20","20–40","40–60","60–80","80–100","100–120")</f>
        <v>20–40</v>
      </c>
      <c r="L10" t="b" s="43" cm="1">
        <f t="array" ref="L10">ISBLANK(F10)</f>
        <v>0</v>
      </c>
    </row>
    <row r="11" ht="18.5" customHeight="1">
      <c r="A11" t="s" s="44">
        <v>46</v>
      </c>
      <c r="B11" s="45">
        <v>45671</v>
      </c>
      <c r="C11" t="s" s="46">
        <v>34</v>
      </c>
      <c r="D11" t="s" s="46">
        <v>47</v>
      </c>
      <c r="E11" t="s" s="46">
        <v>48</v>
      </c>
      <c r="F11" s="47">
        <v>53</v>
      </c>
      <c r="G11" s="48">
        <v>92.06</v>
      </c>
      <c r="H11" t="s" s="49">
        <v>19</v>
      </c>
      <c r="I11" s="50" cm="1">
        <f t="array" ref="I11">IF(F11=0,"",G11/F11)</f>
        <v>1.73698113207547</v>
      </c>
      <c r="J11" t="str" s="42" cm="1">
        <f t="array" ref="J11">CHOOSE(MIN(6,INT(F11/20)+1),"0–20","20–40","40–60","60–80","80–100","100–120")</f>
        <v>40–60</v>
      </c>
      <c r="K11" t="str" s="42" cm="1">
        <f t="array" ref="K11">CHOOSE(MATCH(F11,{0;20;40;60;80;100}),"0–20","20–40","40–60","60–80","80–100","100–120")</f>
        <v>40–60</v>
      </c>
      <c r="L11" t="b" s="43" cm="1">
        <f t="array" ref="L11">ISBLANK(F11)</f>
        <v>0</v>
      </c>
    </row>
    <row r="12" ht="18.5" customHeight="1">
      <c r="A12" t="s" s="36">
        <v>49</v>
      </c>
      <c r="B12" s="37">
        <v>45671</v>
      </c>
      <c r="C12" t="s" s="38">
        <v>34</v>
      </c>
      <c r="D12" t="s" s="38">
        <v>47</v>
      </c>
      <c r="E12" t="s" s="38">
        <v>48</v>
      </c>
      <c r="F12" s="39">
        <v>42</v>
      </c>
      <c r="G12" s="40">
        <v>73.06</v>
      </c>
      <c r="H12" t="s" s="38">
        <v>19</v>
      </c>
      <c r="I12" s="41" cm="1">
        <f t="array" ref="I12">IF(F12=0,"",G12/F12)</f>
        <v>1.73952380952381</v>
      </c>
      <c r="J12" t="str" s="42" cm="1">
        <f t="array" ref="J12">CHOOSE(MIN(6,INT(F12/20)+1),"0–20","20–40","40–60","60–80","80–100","100–120")</f>
        <v>40–60</v>
      </c>
      <c r="K12" t="str" s="42" cm="1">
        <f t="array" ref="K12">CHOOSE(MATCH(F12,{0;20;40;60;80;100}),"0–20","20–40","40–60","60–80","80–100","100–120")</f>
        <v>40–60</v>
      </c>
      <c r="L12" t="b" s="43" cm="1">
        <f t="array" ref="L12">ISBLANK(F12)</f>
        <v>0</v>
      </c>
    </row>
    <row r="13" ht="18.5" customHeight="1">
      <c r="A13" t="s" s="44">
        <v>50</v>
      </c>
      <c r="B13" s="45">
        <v>45672</v>
      </c>
      <c r="C13" t="s" s="46">
        <v>21</v>
      </c>
      <c r="D13" t="s" s="46">
        <v>51</v>
      </c>
      <c r="E13" t="s" s="46">
        <v>52</v>
      </c>
      <c r="F13" s="47">
        <v>26</v>
      </c>
      <c r="G13" s="48">
        <v>29.69</v>
      </c>
      <c r="H13" t="s" s="49">
        <v>19</v>
      </c>
      <c r="I13" s="50" cm="1">
        <f t="array" ref="I13">IF(F13=0,"",G13/F13)</f>
        <v>1.14192307692308</v>
      </c>
      <c r="J13" t="str" s="42" cm="1">
        <f t="array" ref="J13">CHOOSE(MIN(6,INT(F13/20)+1),"0–20","20–40","40–60","60–80","80–100","100–120")</f>
        <v>20–40</v>
      </c>
      <c r="K13" t="str" s="42" cm="1">
        <f t="array" ref="K13">CHOOSE(MATCH(F13,{0;20;40;60;80;100}),"0–20","20–40","40–60","60–80","80–100","100–120")</f>
        <v>20–40</v>
      </c>
      <c r="L13" t="b" s="43" cm="1">
        <f t="array" ref="L13">ISBLANK(F13)</f>
        <v>0</v>
      </c>
    </row>
    <row r="14" ht="18.5" customHeight="1">
      <c r="A14" t="s" s="36">
        <v>53</v>
      </c>
      <c r="B14" s="37">
        <v>45677</v>
      </c>
      <c r="C14" t="s" s="38">
        <v>26</v>
      </c>
      <c r="D14" t="s" s="38">
        <v>45</v>
      </c>
      <c r="E14" t="s" s="38">
        <v>28</v>
      </c>
      <c r="F14" s="39">
        <v>59</v>
      </c>
      <c r="G14" s="40">
        <v>82.65000000000001</v>
      </c>
      <c r="H14" t="s" s="38">
        <v>24</v>
      </c>
      <c r="I14" s="41" cm="1">
        <f t="array" ref="I14">IF(F14=0,"",G14/F14)</f>
        <v>1.40084745762712</v>
      </c>
      <c r="J14" t="str" s="42" cm="1">
        <f t="array" ref="J14">CHOOSE(MIN(6,INT(F14/20)+1),"0–20","20–40","40–60","60–80","80–100","100–120")</f>
        <v>40–60</v>
      </c>
      <c r="K14" t="str" s="42" cm="1">
        <f t="array" ref="K14">CHOOSE(MATCH(F14,{0;20;40;60;80;100}),"0–20","20–40","40–60","60–80","80–100","100–120")</f>
        <v>40–60</v>
      </c>
      <c r="L14" t="b" s="43" cm="1">
        <f t="array" ref="L14">ISBLANK(F14)</f>
        <v>0</v>
      </c>
    </row>
    <row r="15" ht="18.5" customHeight="1">
      <c r="A15" t="s" s="44">
        <v>54</v>
      </c>
      <c r="B15" s="45">
        <v>45677</v>
      </c>
      <c r="C15" t="s" s="46">
        <v>21</v>
      </c>
      <c r="D15" t="s" s="46">
        <v>51</v>
      </c>
      <c r="E15" t="s" s="46">
        <v>23</v>
      </c>
      <c r="F15" s="47">
        <v>24</v>
      </c>
      <c r="G15" s="48">
        <v>29.83</v>
      </c>
      <c r="H15" t="s" s="49">
        <v>19</v>
      </c>
      <c r="I15" s="50" cm="1">
        <f t="array" ref="I15">IF(F15=0,"",G15/F15)</f>
        <v>1.24291666666667</v>
      </c>
      <c r="J15" t="str" s="42" cm="1">
        <f t="array" ref="J15">CHOOSE(MIN(6,INT(F15/20)+1),"0–20","20–40","40–60","60–80","80–100","100–120")</f>
        <v>20–40</v>
      </c>
      <c r="K15" t="str" s="42" cm="1">
        <f t="array" ref="K15">CHOOSE(MATCH(F15,{0;20;40;60;80;100}),"0–20","20–40","40–60","60–80","80–100","100–120")</f>
        <v>20–40</v>
      </c>
      <c r="L15" t="b" s="43" cm="1">
        <f t="array" ref="L15">ISBLANK(F15)</f>
        <v>0</v>
      </c>
    </row>
    <row r="16" ht="18.5" customHeight="1">
      <c r="A16" t="s" s="36">
        <v>55</v>
      </c>
      <c r="B16" s="37">
        <v>45678</v>
      </c>
      <c r="C16" t="s" s="38">
        <v>21</v>
      </c>
      <c r="D16" t="s" s="38">
        <v>51</v>
      </c>
      <c r="E16" t="s" s="38">
        <v>52</v>
      </c>
      <c r="F16" s="39">
        <v>25</v>
      </c>
      <c r="G16" s="40">
        <v>26.47</v>
      </c>
      <c r="H16" t="s" s="38">
        <v>19</v>
      </c>
      <c r="I16" s="41" cm="1">
        <f t="array" ref="I16">IF(F16=0,"",G16/F16)</f>
        <v>1.0588</v>
      </c>
      <c r="J16" t="str" s="42" cm="1">
        <f t="array" ref="J16">CHOOSE(MIN(6,INT(F16/20)+1),"0–20","20–40","40–60","60–80","80–100","100–120")</f>
        <v>20–40</v>
      </c>
      <c r="K16" t="str" s="42" cm="1">
        <f t="array" ref="K16">CHOOSE(MATCH(F16,{0;20;40;60;80;100}),"0–20","20–40","40–60","60–80","80–100","100–120")</f>
        <v>20–40</v>
      </c>
      <c r="L16" t="b" s="43" cm="1">
        <f t="array" ref="L16">ISBLANK(F16)</f>
        <v>0</v>
      </c>
    </row>
    <row r="17" ht="18.5" customHeight="1">
      <c r="A17" t="s" s="44">
        <v>56</v>
      </c>
      <c r="B17" s="45">
        <v>45678</v>
      </c>
      <c r="C17" t="s" s="46">
        <v>21</v>
      </c>
      <c r="D17" t="s" s="46">
        <v>22</v>
      </c>
      <c r="E17" t="s" s="46">
        <v>52</v>
      </c>
      <c r="F17" s="47">
        <v>20</v>
      </c>
      <c r="G17" s="48">
        <v>25.09</v>
      </c>
      <c r="H17" t="s" s="49">
        <v>19</v>
      </c>
      <c r="I17" s="50" cm="1">
        <f t="array" ref="I17">IF(F17=0,"",G17/F17)</f>
        <v>1.2545</v>
      </c>
      <c r="J17" t="str" s="42" cm="1">
        <f t="array" ref="J17">CHOOSE(MIN(6,INT(F17/20)+1),"0–20","20–40","40–60","60–80","80–100","100–120")</f>
        <v>20–40</v>
      </c>
      <c r="K17" t="str" s="42" cm="1">
        <f t="array" ref="K17">CHOOSE(MATCH(F17,{0;20;40;60;80;100}),"0–20","20–40","40–60","60–80","80–100","100–120")</f>
        <v>20–40</v>
      </c>
      <c r="L17" t="b" s="43" cm="1">
        <f t="array" ref="L17">ISBLANK(F17)</f>
        <v>0</v>
      </c>
    </row>
    <row r="18" ht="18.5" customHeight="1">
      <c r="A18" t="s" s="36">
        <v>57</v>
      </c>
      <c r="B18" s="37">
        <v>45681</v>
      </c>
      <c r="C18" t="s" s="38">
        <v>26</v>
      </c>
      <c r="D18" t="s" s="38">
        <v>45</v>
      </c>
      <c r="E18" t="s" s="38">
        <v>43</v>
      </c>
      <c r="F18" s="39">
        <v>38</v>
      </c>
      <c r="G18" s="40">
        <v>57.21</v>
      </c>
      <c r="H18" t="s" s="38">
        <v>19</v>
      </c>
      <c r="I18" s="41" cm="1">
        <f t="array" ref="I18">IF(F18=0,"",G18/F18)</f>
        <v>1.50552631578947</v>
      </c>
      <c r="J18" t="str" s="42" cm="1">
        <f t="array" ref="J18">CHOOSE(MIN(6,INT(F18/20)+1),"0–20","20–40","40–60","60–80","80–100","100–120")</f>
        <v>20–40</v>
      </c>
      <c r="K18" t="str" s="42" cm="1">
        <f t="array" ref="K18">CHOOSE(MATCH(F18,{0;20;40;60;80;100}),"0–20","20–40","40–60","60–80","80–100","100–120")</f>
        <v>20–40</v>
      </c>
      <c r="L18" t="b" s="43" cm="1">
        <f t="array" ref="L18">ISBLANK(F18)</f>
        <v>0</v>
      </c>
    </row>
    <row r="19" ht="18.5" customHeight="1">
      <c r="A19" t="s" s="44">
        <v>58</v>
      </c>
      <c r="B19" s="45">
        <v>45681</v>
      </c>
      <c r="C19" t="s" s="46">
        <v>34</v>
      </c>
      <c r="D19" t="s" s="46">
        <v>47</v>
      </c>
      <c r="E19" t="s" s="46">
        <v>59</v>
      </c>
      <c r="F19" s="47">
        <v>35</v>
      </c>
      <c r="G19" s="48">
        <v>70.77</v>
      </c>
      <c r="H19" t="s" s="49">
        <v>19</v>
      </c>
      <c r="I19" s="50" cm="1">
        <f t="array" ref="I19">IF(F19=0,"",G19/F19)</f>
        <v>2.022</v>
      </c>
      <c r="J19" t="str" s="42" cm="1">
        <f t="array" ref="J19">CHOOSE(MIN(6,INT(F19/20)+1),"0–20","20–40","40–60","60–80","80–100","100–120")</f>
        <v>20–40</v>
      </c>
      <c r="K19" t="str" s="42" cm="1">
        <f t="array" ref="K19">CHOOSE(MATCH(F19,{0;20;40;60;80;100}),"0–20","20–40","40–60","60–80","80–100","100–120")</f>
        <v>20–40</v>
      </c>
      <c r="L19" t="b" s="43" cm="1">
        <f t="array" ref="L19">ISBLANK(F19)</f>
        <v>0</v>
      </c>
    </row>
    <row r="20" ht="18.5" customHeight="1">
      <c r="A20" t="s" s="36">
        <v>60</v>
      </c>
      <c r="B20" s="37">
        <v>45681</v>
      </c>
      <c r="C20" t="s" s="38">
        <v>30</v>
      </c>
      <c r="D20" t="s" s="38">
        <v>42</v>
      </c>
      <c r="E20" t="s" s="38">
        <v>43</v>
      </c>
      <c r="F20" s="39">
        <v>30</v>
      </c>
      <c r="G20" s="40">
        <v>40.81</v>
      </c>
      <c r="H20" t="s" s="38">
        <v>19</v>
      </c>
      <c r="I20" s="41" cm="1">
        <f t="array" ref="I20">IF(F20=0,"",G20/F20)</f>
        <v>1.36033333333333</v>
      </c>
      <c r="J20" t="str" s="42" cm="1">
        <f t="array" ref="J20">CHOOSE(MIN(6,INT(F20/20)+1),"0–20","20–40","40–60","60–80","80–100","100–120")</f>
        <v>20–40</v>
      </c>
      <c r="K20" t="str" s="42" cm="1">
        <f t="array" ref="K20">CHOOSE(MATCH(F20,{0;20;40;60;80;100}),"0–20","20–40","40–60","60–80","80–100","100–120")</f>
        <v>20–40</v>
      </c>
      <c r="L20" t="b" s="43" cm="1">
        <f t="array" ref="L20">ISBLANK(F20)</f>
        <v>0</v>
      </c>
    </row>
    <row r="21" ht="18.5" customHeight="1">
      <c r="A21" t="s" s="44">
        <v>61</v>
      </c>
      <c r="B21" s="45">
        <v>45682</v>
      </c>
      <c r="C21" t="s" s="46">
        <v>26</v>
      </c>
      <c r="D21" t="s" s="46">
        <v>38</v>
      </c>
      <c r="E21" t="s" s="46">
        <v>39</v>
      </c>
      <c r="F21" s="47">
        <v>27</v>
      </c>
      <c r="G21" s="48">
        <v>40.89</v>
      </c>
      <c r="H21" t="s" s="49">
        <v>19</v>
      </c>
      <c r="I21" s="50" cm="1">
        <f t="array" ref="I21">IF(F21=0,"",G21/F21)</f>
        <v>1.51444444444444</v>
      </c>
      <c r="J21" t="str" s="42" cm="1">
        <f t="array" ref="J21">CHOOSE(MIN(6,INT(F21/20)+1),"0–20","20–40","40–60","60–80","80–100","100–120")</f>
        <v>20–40</v>
      </c>
      <c r="K21" t="str" s="42" cm="1">
        <f t="array" ref="K21">CHOOSE(MATCH(F21,{0;20;40;60;80;100}),"0–20","20–40","40–60","60–80","80–100","100–120")</f>
        <v>20–40</v>
      </c>
      <c r="L21" t="b" s="43" cm="1">
        <f t="array" ref="L21">ISBLANK(F21)</f>
        <v>0</v>
      </c>
    </row>
    <row r="22" ht="18.5" customHeight="1">
      <c r="A22" t="s" s="36">
        <v>62</v>
      </c>
      <c r="B22" s="37">
        <v>45683</v>
      </c>
      <c r="C22" t="s" s="38">
        <v>16</v>
      </c>
      <c r="D22" t="s" s="38">
        <v>63</v>
      </c>
      <c r="E22" t="s" s="38">
        <v>36</v>
      </c>
      <c r="F22" s="39">
        <v>38</v>
      </c>
      <c r="G22" s="40">
        <v>68.8</v>
      </c>
      <c r="H22" t="s" s="38">
        <v>19</v>
      </c>
      <c r="I22" s="41" cm="1">
        <f t="array" ref="I22">IF(F22=0,"",G22/F22)</f>
        <v>1.81052631578947</v>
      </c>
      <c r="J22" t="str" s="42" cm="1">
        <f t="array" ref="J22">CHOOSE(MIN(6,INT(F22/20)+1),"0–20","20–40","40–60","60–80","80–100","100–120")</f>
        <v>20–40</v>
      </c>
      <c r="K22" t="str" s="42" cm="1">
        <f t="array" ref="K22">CHOOSE(MATCH(F22,{0;20;40;60;80;100}),"0–20","20–40","40–60","60–80","80–100","100–120")</f>
        <v>20–40</v>
      </c>
      <c r="L22" t="b" s="43" cm="1">
        <f t="array" ref="L22">ISBLANK(F22)</f>
        <v>0</v>
      </c>
    </row>
    <row r="23" ht="18.5" customHeight="1">
      <c r="A23" t="s" s="44">
        <v>64</v>
      </c>
      <c r="B23" s="45">
        <v>45683</v>
      </c>
      <c r="C23" t="s" s="46">
        <v>16</v>
      </c>
      <c r="D23" t="s" s="46">
        <v>63</v>
      </c>
      <c r="E23" t="s" s="46">
        <v>65</v>
      </c>
      <c r="F23" s="47">
        <v>42</v>
      </c>
      <c r="G23" s="48">
        <v>64.39</v>
      </c>
      <c r="H23" t="s" s="49">
        <v>19</v>
      </c>
      <c r="I23" s="50" cm="1">
        <f t="array" ref="I23">IF(F23=0,"",G23/F23)</f>
        <v>1.53309523809524</v>
      </c>
      <c r="J23" t="str" s="42" cm="1">
        <f t="array" ref="J23">CHOOSE(MIN(6,INT(F23/20)+1),"0–20","20–40","40–60","60–80","80–100","100–120")</f>
        <v>40–60</v>
      </c>
      <c r="K23" t="str" s="42" cm="1">
        <f t="array" ref="K23">CHOOSE(MATCH(F23,{0;20;40;60;80;100}),"0–20","20–40","40–60","60–80","80–100","100–120")</f>
        <v>40–60</v>
      </c>
      <c r="L23" t="b" s="43" cm="1">
        <f t="array" ref="L23">ISBLANK(F23)</f>
        <v>0</v>
      </c>
    </row>
    <row r="24" ht="18.5" customHeight="1">
      <c r="A24" t="s" s="36">
        <v>66</v>
      </c>
      <c r="B24" s="37">
        <v>45684</v>
      </c>
      <c r="C24" t="s" s="38">
        <v>21</v>
      </c>
      <c r="D24" t="s" s="38">
        <v>22</v>
      </c>
      <c r="E24" t="s" s="38">
        <v>32</v>
      </c>
      <c r="F24" s="39">
        <v>12</v>
      </c>
      <c r="G24" s="40">
        <v>14.03</v>
      </c>
      <c r="H24" t="s" s="38">
        <v>19</v>
      </c>
      <c r="I24" s="41" cm="1">
        <f t="array" ref="I24">IF(F24=0,"",G24/F24)</f>
        <v>1.16916666666667</v>
      </c>
      <c r="J24" t="str" s="42" cm="1">
        <f t="array" ref="J24">CHOOSE(MIN(6,INT(F24/20)+1),"0–20","20–40","40–60","60–80","80–100","100–120")</f>
        <v>0–20</v>
      </c>
      <c r="K24" t="str" s="42" cm="1">
        <f t="array" ref="K24">CHOOSE(MATCH(F24,{0;20;40;60;80;100}),"0–20","20–40","40–60","60–80","80–100","100–120")</f>
        <v>0–20</v>
      </c>
      <c r="L24" t="b" s="43" cm="1">
        <f t="array" ref="L24">ISBLANK(F24)</f>
        <v>0</v>
      </c>
    </row>
    <row r="25" ht="18.5" customHeight="1">
      <c r="A25" t="s" s="44">
        <v>67</v>
      </c>
      <c r="B25" s="45">
        <v>45684</v>
      </c>
      <c r="C25" t="s" s="46">
        <v>26</v>
      </c>
      <c r="D25" t="s" s="46">
        <v>45</v>
      </c>
      <c r="E25" t="s" s="46">
        <v>28</v>
      </c>
      <c r="F25" s="47">
        <v>41</v>
      </c>
      <c r="G25" s="48">
        <v>56.49</v>
      </c>
      <c r="H25" t="s" s="49">
        <v>19</v>
      </c>
      <c r="I25" s="50" cm="1">
        <f t="array" ref="I25">IF(F25=0,"",G25/F25)</f>
        <v>1.37780487804878</v>
      </c>
      <c r="J25" t="str" s="42" cm="1">
        <f t="array" ref="J25">CHOOSE(MIN(6,INT(F25/20)+1),"0–20","20–40","40–60","60–80","80–100","100–120")</f>
        <v>40–60</v>
      </c>
      <c r="K25" t="str" s="42" cm="1">
        <f t="array" ref="K25">CHOOSE(MATCH(F25,{0;20;40;60;80;100}),"0–20","20–40","40–60","60–80","80–100","100–120")</f>
        <v>40–60</v>
      </c>
      <c r="L25" t="b" s="43" cm="1">
        <f t="array" ref="L25">ISBLANK(F25)</f>
        <v>0</v>
      </c>
    </row>
    <row r="26" ht="18.5" customHeight="1">
      <c r="A26" t="s" s="36">
        <v>68</v>
      </c>
      <c r="B26" s="37">
        <v>45684</v>
      </c>
      <c r="C26" t="s" s="38">
        <v>21</v>
      </c>
      <c r="D26" t="s" s="38">
        <v>22</v>
      </c>
      <c r="E26" t="s" s="38">
        <v>23</v>
      </c>
      <c r="F26" s="39">
        <v>29</v>
      </c>
      <c r="G26" s="40">
        <v>29.54</v>
      </c>
      <c r="H26" t="s" s="38">
        <v>19</v>
      </c>
      <c r="I26" s="41" cm="1">
        <f t="array" ref="I26">IF(F26=0,"",G26/F26)</f>
        <v>1.01862068965517</v>
      </c>
      <c r="J26" t="str" s="42" cm="1">
        <f t="array" ref="J26">CHOOSE(MIN(6,INT(F26/20)+1),"0–20","20–40","40–60","60–80","80–100","100–120")</f>
        <v>20–40</v>
      </c>
      <c r="K26" t="str" s="42" cm="1">
        <f t="array" ref="K26">CHOOSE(MATCH(F26,{0;20;40;60;80;100}),"0–20","20–40","40–60","60–80","80–100","100–120")</f>
        <v>20–40</v>
      </c>
      <c r="L26" t="b" s="43" cm="1">
        <f t="array" ref="L26">ISBLANK(F26)</f>
        <v>0</v>
      </c>
    </row>
    <row r="27" ht="18.5" customHeight="1">
      <c r="A27" t="s" s="44">
        <v>69</v>
      </c>
      <c r="B27" s="45">
        <v>45684</v>
      </c>
      <c r="C27" t="s" s="46">
        <v>30</v>
      </c>
      <c r="D27" t="s" s="46">
        <v>42</v>
      </c>
      <c r="E27" t="s" s="46">
        <v>70</v>
      </c>
      <c r="F27" s="47">
        <v>21</v>
      </c>
      <c r="G27" s="48">
        <v>25.86</v>
      </c>
      <c r="H27" t="s" s="49">
        <v>19</v>
      </c>
      <c r="I27" s="50" cm="1">
        <f t="array" ref="I27">IF(F27=0,"",G27/F27)</f>
        <v>1.23142857142857</v>
      </c>
      <c r="J27" t="str" s="42" cm="1">
        <f t="array" ref="J27">CHOOSE(MIN(6,INT(F27/20)+1),"0–20","20–40","40–60","60–80","80–100","100–120")</f>
        <v>20–40</v>
      </c>
      <c r="K27" t="str" s="42" cm="1">
        <f t="array" ref="K27">CHOOSE(MATCH(F27,{0;20;40;60;80;100}),"0–20","20–40","40–60","60–80","80–100","100–120")</f>
        <v>20–40</v>
      </c>
      <c r="L27" t="b" s="43" cm="1">
        <f t="array" ref="L27">ISBLANK(F27)</f>
        <v>0</v>
      </c>
    </row>
    <row r="28" ht="18.5" customHeight="1">
      <c r="A28" t="s" s="36">
        <v>71</v>
      </c>
      <c r="B28" s="37">
        <v>45685</v>
      </c>
      <c r="C28" t="s" s="38">
        <v>16</v>
      </c>
      <c r="D28" t="s" s="38">
        <v>63</v>
      </c>
      <c r="E28" t="s" s="38">
        <v>36</v>
      </c>
      <c r="F28" s="39">
        <v>21</v>
      </c>
      <c r="G28" s="40">
        <v>37.48</v>
      </c>
      <c r="H28" t="s" s="38">
        <v>19</v>
      </c>
      <c r="I28" s="41" cm="1">
        <f t="array" ref="I28">IF(F28=0,"",G28/F28)</f>
        <v>1.7847619047619</v>
      </c>
      <c r="J28" t="str" s="42" cm="1">
        <f t="array" ref="J28">CHOOSE(MIN(6,INT(F28/20)+1),"0–20","20–40","40–60","60–80","80–100","100–120")</f>
        <v>20–40</v>
      </c>
      <c r="K28" t="str" s="42" cm="1">
        <f t="array" ref="K28">CHOOSE(MATCH(F28,{0;20;40;60;80;100}),"0–20","20–40","40–60","60–80","80–100","100–120")</f>
        <v>20–40</v>
      </c>
      <c r="L28" t="b" s="43" cm="1">
        <f t="array" ref="L28">ISBLANK(F28)</f>
        <v>0</v>
      </c>
    </row>
    <row r="29" ht="18.5" customHeight="1">
      <c r="A29" t="s" s="44">
        <v>72</v>
      </c>
      <c r="B29" s="45">
        <v>45685</v>
      </c>
      <c r="C29" t="s" s="46">
        <v>30</v>
      </c>
      <c r="D29" t="s" s="46">
        <v>42</v>
      </c>
      <c r="E29" t="s" s="46">
        <v>43</v>
      </c>
      <c r="F29" s="47">
        <v>33</v>
      </c>
      <c r="G29" s="48">
        <v>44.28</v>
      </c>
      <c r="H29" t="s" s="49">
        <v>19</v>
      </c>
      <c r="I29" s="50" cm="1">
        <f t="array" ref="I29">IF(F29=0,"",G29/F29)</f>
        <v>1.34181818181818</v>
      </c>
      <c r="J29" t="str" s="42" cm="1">
        <f t="array" ref="J29">CHOOSE(MIN(6,INT(F29/20)+1),"0–20","20–40","40–60","60–80","80–100","100–120")</f>
        <v>20–40</v>
      </c>
      <c r="K29" t="str" s="42" cm="1">
        <f t="array" ref="K29">CHOOSE(MATCH(F29,{0;20;40;60;80;100}),"0–20","20–40","40–60","60–80","80–100","100–120")</f>
        <v>20–40</v>
      </c>
      <c r="L29" t="b" s="43" cm="1">
        <f t="array" ref="L29">ISBLANK(F29)</f>
        <v>0</v>
      </c>
    </row>
    <row r="30" ht="18.5" customHeight="1">
      <c r="A30" t="s" s="36">
        <v>73</v>
      </c>
      <c r="B30" s="37">
        <v>45686</v>
      </c>
      <c r="C30" t="s" s="38">
        <v>26</v>
      </c>
      <c r="D30" t="s" s="38">
        <v>38</v>
      </c>
      <c r="E30" t="s" s="38">
        <v>39</v>
      </c>
      <c r="F30" s="39">
        <v>31</v>
      </c>
      <c r="G30" s="40">
        <v>52.47</v>
      </c>
      <c r="H30" t="s" s="38">
        <v>19</v>
      </c>
      <c r="I30" s="41" cm="1">
        <f t="array" ref="I30">IF(F30=0,"",G30/F30)</f>
        <v>1.69258064516129</v>
      </c>
      <c r="J30" t="str" s="42" cm="1">
        <f t="array" ref="J30">CHOOSE(MIN(6,INT(F30/20)+1),"0–20","20–40","40–60","60–80","80–100","100–120")</f>
        <v>20–40</v>
      </c>
      <c r="K30" t="str" s="42" cm="1">
        <f t="array" ref="K30">CHOOSE(MATCH(F30,{0;20;40;60;80;100}),"0–20","20–40","40–60","60–80","80–100","100–120")</f>
        <v>20–40</v>
      </c>
      <c r="L30" t="b" s="43" cm="1">
        <f t="array" ref="L30">ISBLANK(F30)</f>
        <v>0</v>
      </c>
    </row>
    <row r="31" ht="18.5" customHeight="1">
      <c r="A31" t="s" s="44">
        <v>74</v>
      </c>
      <c r="B31" s="45">
        <v>45686</v>
      </c>
      <c r="C31" t="s" s="46">
        <v>26</v>
      </c>
      <c r="D31" t="s" s="46">
        <v>45</v>
      </c>
      <c r="E31" t="s" s="46">
        <v>39</v>
      </c>
      <c r="F31" s="47">
        <v>7</v>
      </c>
      <c r="G31" s="48">
        <v>9.83</v>
      </c>
      <c r="H31" t="s" s="49">
        <v>19</v>
      </c>
      <c r="I31" s="50" cm="1">
        <f t="array" ref="I31">IF(F31=0,"",G31/F31)</f>
        <v>1.40428571428571</v>
      </c>
      <c r="J31" t="str" s="42" cm="1">
        <f t="array" ref="J31">CHOOSE(MIN(6,INT(F31/20)+1),"0–20","20–40","40–60","60–80","80–100","100–120")</f>
        <v>0–20</v>
      </c>
      <c r="K31" t="str" s="42" cm="1">
        <f t="array" ref="K31">CHOOSE(MATCH(F31,{0;20;40;60;80;100}),"0–20","20–40","40–60","60–80","80–100","100–120")</f>
        <v>0–20</v>
      </c>
      <c r="L31" t="b" s="43" cm="1">
        <f t="array" ref="L31">ISBLANK(F31)</f>
        <v>0</v>
      </c>
    </row>
    <row r="32" ht="18.5" customHeight="1">
      <c r="A32" t="s" s="36">
        <v>75</v>
      </c>
      <c r="B32" s="37">
        <v>45686</v>
      </c>
      <c r="C32" t="s" s="38">
        <v>21</v>
      </c>
      <c r="D32" t="s" s="38">
        <v>51</v>
      </c>
      <c r="E32" t="s" s="38">
        <v>23</v>
      </c>
      <c r="F32" s="39">
        <v>24</v>
      </c>
      <c r="G32" s="40">
        <v>28.44</v>
      </c>
      <c r="H32" t="s" s="38">
        <v>19</v>
      </c>
      <c r="I32" s="41" cm="1">
        <f t="array" ref="I32">IF(F32=0,"",G32/F32)</f>
        <v>1.185</v>
      </c>
      <c r="J32" t="str" s="42" cm="1">
        <f t="array" ref="J32">CHOOSE(MIN(6,INT(F32/20)+1),"0–20","20–40","40–60","60–80","80–100","100–120")</f>
        <v>20–40</v>
      </c>
      <c r="K32" t="str" s="42" cm="1">
        <f t="array" ref="K32">CHOOSE(MATCH(F32,{0;20;40;60;80;100}),"0–20","20–40","40–60","60–80","80–100","100–120")</f>
        <v>20–40</v>
      </c>
      <c r="L32" t="b" s="43" cm="1">
        <f t="array" ref="L32">ISBLANK(F32)</f>
        <v>0</v>
      </c>
    </row>
    <row r="33" ht="18.5" customHeight="1">
      <c r="A33" t="s" s="44">
        <v>76</v>
      </c>
      <c r="B33" s="45">
        <v>45688</v>
      </c>
      <c r="C33" t="s" s="46">
        <v>21</v>
      </c>
      <c r="D33" t="s" s="46">
        <v>51</v>
      </c>
      <c r="E33" t="s" s="46">
        <v>23</v>
      </c>
      <c r="F33" s="47">
        <v>28</v>
      </c>
      <c r="G33" s="48">
        <v>33.64</v>
      </c>
      <c r="H33" t="s" s="49">
        <v>19</v>
      </c>
      <c r="I33" s="50" cm="1">
        <f t="array" ref="I33">IF(F33=0,"",G33/F33)</f>
        <v>1.20142857142857</v>
      </c>
      <c r="J33" t="str" s="42" cm="1">
        <f t="array" ref="J33">CHOOSE(MIN(6,INT(F33/20)+1),"0–20","20–40","40–60","60–80","80–100","100–120")</f>
        <v>20–40</v>
      </c>
      <c r="K33" t="str" s="42" cm="1">
        <f t="array" ref="K33">CHOOSE(MATCH(F33,{0;20;40;60;80;100}),"0–20","20–40","40–60","60–80","80–100","100–120")</f>
        <v>20–40</v>
      </c>
      <c r="L33" t="b" s="43" cm="1">
        <f t="array" ref="L33">ISBLANK(F33)</f>
        <v>0</v>
      </c>
    </row>
    <row r="34" ht="18.5" customHeight="1">
      <c r="A34" t="s" s="36">
        <v>77</v>
      </c>
      <c r="B34" s="37">
        <v>45688</v>
      </c>
      <c r="C34" t="s" s="38">
        <v>30</v>
      </c>
      <c r="D34" t="s" s="38">
        <v>42</v>
      </c>
      <c r="E34" t="s" s="38">
        <v>43</v>
      </c>
      <c r="F34" s="39">
        <v>19</v>
      </c>
      <c r="G34" s="40">
        <v>20.8</v>
      </c>
      <c r="H34" t="s" s="38">
        <v>19</v>
      </c>
      <c r="I34" s="41" cm="1">
        <f t="array" ref="I34">IF(F34=0,"",G34/F34)</f>
        <v>1.09473684210526</v>
      </c>
      <c r="J34" t="str" s="42" cm="1">
        <f t="array" ref="J34">CHOOSE(MIN(6,INT(F34/20)+1),"0–20","20–40","40–60","60–80","80–100","100–120")</f>
        <v>0–20</v>
      </c>
      <c r="K34" t="str" s="42" cm="1">
        <f t="array" ref="K34">CHOOSE(MATCH(F34,{0;20;40;60;80;100}),"0–20","20–40","40–60","60–80","80–100","100–120")</f>
        <v>0–20</v>
      </c>
      <c r="L34" t="b" s="43" cm="1">
        <f t="array" ref="L34">ISBLANK(F34)</f>
        <v>0</v>
      </c>
    </row>
    <row r="35" ht="18.5" customHeight="1">
      <c r="A35" t="s" s="44">
        <v>78</v>
      </c>
      <c r="B35" s="45">
        <v>45689</v>
      </c>
      <c r="C35" t="s" s="46">
        <v>21</v>
      </c>
      <c r="D35" t="s" s="46">
        <v>22</v>
      </c>
      <c r="E35" t="s" s="46">
        <v>23</v>
      </c>
      <c r="F35" s="47">
        <v>16</v>
      </c>
      <c r="G35" s="48">
        <v>19.84</v>
      </c>
      <c r="H35" t="s" s="49">
        <v>19</v>
      </c>
      <c r="I35" s="50" cm="1">
        <f t="array" ref="I35">IF(F35=0,"",G35/F35)</f>
        <v>1.24</v>
      </c>
      <c r="J35" t="str" s="42" cm="1">
        <f t="array" ref="J35">CHOOSE(MIN(6,INT(F35/20)+1),"0–20","20–40","40–60","60–80","80–100","100–120")</f>
        <v>0–20</v>
      </c>
      <c r="K35" t="str" s="42" cm="1">
        <f t="array" ref="K35">CHOOSE(MATCH(F35,{0;20;40;60;80;100}),"0–20","20–40","40–60","60–80","80–100","100–120")</f>
        <v>0–20</v>
      </c>
      <c r="L35" t="b" s="43" cm="1">
        <f t="array" ref="L35">ISBLANK(F35)</f>
        <v>0</v>
      </c>
    </row>
    <row r="36" ht="18.5" customHeight="1">
      <c r="A36" t="s" s="36">
        <v>79</v>
      </c>
      <c r="B36" s="37">
        <v>45691</v>
      </c>
      <c r="C36" t="s" s="38">
        <v>26</v>
      </c>
      <c r="D36" t="s" s="38">
        <v>27</v>
      </c>
      <c r="E36" t="s" s="38">
        <v>43</v>
      </c>
      <c r="F36" s="39">
        <v>21</v>
      </c>
      <c r="G36" s="40">
        <v>31.39</v>
      </c>
      <c r="H36" t="s" s="38">
        <v>19</v>
      </c>
      <c r="I36" s="41" cm="1">
        <f t="array" ref="I36">IF(F36=0,"",G36/F36)</f>
        <v>1.4947619047619</v>
      </c>
      <c r="J36" t="str" s="42" cm="1">
        <f t="array" ref="J36">CHOOSE(MIN(6,INT(F36/20)+1),"0–20","20–40","40–60","60–80","80–100","100–120")</f>
        <v>20–40</v>
      </c>
      <c r="K36" t="str" s="42" cm="1">
        <f t="array" ref="K36">CHOOSE(MATCH(F36,{0;20;40;60;80;100}),"0–20","20–40","40–60","60–80","80–100","100–120")</f>
        <v>20–40</v>
      </c>
      <c r="L36" t="b" s="43" cm="1">
        <f t="array" ref="L36">ISBLANK(F36)</f>
        <v>0</v>
      </c>
    </row>
    <row r="37" ht="18.5" customHeight="1">
      <c r="A37" t="s" s="44">
        <v>80</v>
      </c>
      <c r="B37" s="45">
        <v>45694</v>
      </c>
      <c r="C37" t="s" s="46">
        <v>16</v>
      </c>
      <c r="D37" t="s" s="46">
        <v>63</v>
      </c>
      <c r="E37" t="s" s="46">
        <v>36</v>
      </c>
      <c r="F37" s="47">
        <v>33</v>
      </c>
      <c r="G37" s="48">
        <v>51.88</v>
      </c>
      <c r="H37" t="s" s="49">
        <v>19</v>
      </c>
      <c r="I37" s="50" cm="1">
        <f t="array" ref="I37">IF(F37=0,"",G37/F37)</f>
        <v>1.57212121212121</v>
      </c>
      <c r="J37" t="str" s="42" cm="1">
        <f t="array" ref="J37">CHOOSE(MIN(6,INT(F37/20)+1),"0–20","20–40","40–60","60–80","80–100","100–120")</f>
        <v>20–40</v>
      </c>
      <c r="K37" t="str" s="42" cm="1">
        <f t="array" ref="K37">CHOOSE(MATCH(F37,{0;20;40;60;80;100}),"0–20","20–40","40–60","60–80","80–100","100–120")</f>
        <v>20–40</v>
      </c>
      <c r="L37" t="b" s="43" cm="1">
        <f t="array" ref="L37">ISBLANK(F37)</f>
        <v>0</v>
      </c>
    </row>
    <row r="38" ht="18.5" customHeight="1">
      <c r="A38" t="s" s="36">
        <v>81</v>
      </c>
      <c r="B38" s="37">
        <v>45695</v>
      </c>
      <c r="C38" t="s" s="38">
        <v>34</v>
      </c>
      <c r="D38" t="s" s="38">
        <v>35</v>
      </c>
      <c r="E38" t="s" s="38">
        <v>48</v>
      </c>
      <c r="F38" s="39">
        <v>32</v>
      </c>
      <c r="G38" s="40">
        <v>59.58</v>
      </c>
      <c r="H38" t="s" s="38">
        <v>19</v>
      </c>
      <c r="I38" s="41" cm="1">
        <f t="array" ref="I38">IF(F38=0,"",G38/F38)</f>
        <v>1.861875</v>
      </c>
      <c r="J38" t="str" s="42" cm="1">
        <f t="array" ref="J38">CHOOSE(MIN(6,INT(F38/20)+1),"0–20","20–40","40–60","60–80","80–100","100–120")</f>
        <v>20–40</v>
      </c>
      <c r="K38" t="str" s="42" cm="1">
        <f t="array" ref="K38">CHOOSE(MATCH(F38,{0;20;40;60;80;100}),"0–20","20–40","40–60","60–80","80–100","100–120")</f>
        <v>20–40</v>
      </c>
      <c r="L38" t="b" s="43" cm="1">
        <f t="array" ref="L38">ISBLANK(F38)</f>
        <v>0</v>
      </c>
    </row>
    <row r="39" ht="18.5" customHeight="1">
      <c r="A39" t="s" s="44">
        <v>82</v>
      </c>
      <c r="B39" s="45">
        <v>45695</v>
      </c>
      <c r="C39" t="s" s="46">
        <v>21</v>
      </c>
      <c r="D39" t="s" s="46">
        <v>22</v>
      </c>
      <c r="E39" t="s" s="46">
        <v>52</v>
      </c>
      <c r="F39" s="47">
        <v>11</v>
      </c>
      <c r="G39" s="48">
        <v>11.34</v>
      </c>
      <c r="H39" t="s" s="49">
        <v>19</v>
      </c>
      <c r="I39" s="50" cm="1">
        <f t="array" ref="I39">IF(F39=0,"",G39/F39)</f>
        <v>1.03090909090909</v>
      </c>
      <c r="J39" t="str" s="42" cm="1">
        <f t="array" ref="J39">CHOOSE(MIN(6,INT(F39/20)+1),"0–20","20–40","40–60","60–80","80–100","100–120")</f>
        <v>0–20</v>
      </c>
      <c r="K39" t="str" s="42" cm="1">
        <f t="array" ref="K39">CHOOSE(MATCH(F39,{0;20;40;60;80;100}),"0–20","20–40","40–60","60–80","80–100","100–120")</f>
        <v>0–20</v>
      </c>
      <c r="L39" t="b" s="43" cm="1">
        <f t="array" ref="L39">ISBLANK(F39)</f>
        <v>0</v>
      </c>
    </row>
    <row r="40" ht="18.5" customHeight="1">
      <c r="A40" t="s" s="36">
        <v>83</v>
      </c>
      <c r="B40" s="37">
        <v>45695</v>
      </c>
      <c r="C40" t="s" s="38">
        <v>30</v>
      </c>
      <c r="D40" t="s" s="38">
        <v>31</v>
      </c>
      <c r="E40" t="s" s="38">
        <v>32</v>
      </c>
      <c r="F40" s="39">
        <v>35</v>
      </c>
      <c r="G40" s="40">
        <v>48.16</v>
      </c>
      <c r="H40" t="s" s="38">
        <v>19</v>
      </c>
      <c r="I40" s="41" cm="1">
        <f t="array" ref="I40">IF(F40=0,"",G40/F40)</f>
        <v>1.376</v>
      </c>
      <c r="J40" t="str" s="42" cm="1">
        <f t="array" ref="J40">CHOOSE(MIN(6,INT(F40/20)+1),"0–20","20–40","40–60","60–80","80–100","100–120")</f>
        <v>20–40</v>
      </c>
      <c r="K40" t="str" s="42" cm="1">
        <f t="array" ref="K40">CHOOSE(MATCH(F40,{0;20;40;60;80;100}),"0–20","20–40","40–60","60–80","80–100","100–120")</f>
        <v>20–40</v>
      </c>
      <c r="L40" t="b" s="43" cm="1">
        <f t="array" ref="L40">ISBLANK(F40)</f>
        <v>0</v>
      </c>
    </row>
    <row r="41" ht="18.5" customHeight="1">
      <c r="A41" t="s" s="44">
        <v>84</v>
      </c>
      <c r="B41" s="45">
        <v>45695</v>
      </c>
      <c r="C41" t="s" s="46">
        <v>34</v>
      </c>
      <c r="D41" t="s" s="46">
        <v>47</v>
      </c>
      <c r="E41" t="s" s="46">
        <v>36</v>
      </c>
      <c r="F41" s="47">
        <v>46</v>
      </c>
      <c r="G41" s="48">
        <v>75.84</v>
      </c>
      <c r="H41" t="s" s="49">
        <v>19</v>
      </c>
      <c r="I41" s="50" cm="1">
        <f t="array" ref="I41">IF(F41=0,"",G41/F41)</f>
        <v>1.64869565217391</v>
      </c>
      <c r="J41" t="str" s="42" cm="1">
        <f t="array" ref="J41">CHOOSE(MIN(6,INT(F41/20)+1),"0–20","20–40","40–60","60–80","80–100","100–120")</f>
        <v>40–60</v>
      </c>
      <c r="K41" t="str" s="42" cm="1">
        <f t="array" ref="K41">CHOOSE(MATCH(F41,{0;20;40;60;80;100}),"0–20","20–40","40–60","60–80","80–100","100–120")</f>
        <v>40–60</v>
      </c>
      <c r="L41" t="b" s="43" cm="1">
        <f t="array" ref="L41">ISBLANK(F41)</f>
        <v>0</v>
      </c>
    </row>
    <row r="42" ht="18.5" customHeight="1">
      <c r="A42" t="s" s="36">
        <v>85</v>
      </c>
      <c r="B42" s="37">
        <v>45695</v>
      </c>
      <c r="C42" t="s" s="38">
        <v>26</v>
      </c>
      <c r="D42" t="s" s="38">
        <v>27</v>
      </c>
      <c r="E42" t="s" s="38">
        <v>43</v>
      </c>
      <c r="F42" s="39">
        <v>30</v>
      </c>
      <c r="G42" s="40">
        <v>42.85</v>
      </c>
      <c r="H42" t="s" s="38">
        <v>19</v>
      </c>
      <c r="I42" s="41" cm="1">
        <f t="array" ref="I42">IF(F42=0,"",G42/F42)</f>
        <v>1.42833333333333</v>
      </c>
      <c r="J42" t="str" s="42" cm="1">
        <f t="array" ref="J42">CHOOSE(MIN(6,INT(F42/20)+1),"0–20","20–40","40–60","60–80","80–100","100–120")</f>
        <v>20–40</v>
      </c>
      <c r="K42" t="str" s="42" cm="1">
        <f t="array" ref="K42">CHOOSE(MATCH(F42,{0;20;40;60;80;100}),"0–20","20–40","40–60","60–80","80–100","100–120")</f>
        <v>20–40</v>
      </c>
      <c r="L42" t="b" s="43" cm="1">
        <f t="array" ref="L42">ISBLANK(F42)</f>
        <v>0</v>
      </c>
    </row>
    <row r="43" ht="18.5" customHeight="1">
      <c r="A43" t="s" s="44">
        <v>86</v>
      </c>
      <c r="B43" s="45">
        <v>45697</v>
      </c>
      <c r="C43" t="s" s="46">
        <v>21</v>
      </c>
      <c r="D43" t="s" s="46">
        <v>22</v>
      </c>
      <c r="E43" t="s" s="46">
        <v>52</v>
      </c>
      <c r="F43" s="47">
        <v>11</v>
      </c>
      <c r="G43" s="48">
        <v>11.77</v>
      </c>
      <c r="H43" t="s" s="49">
        <v>19</v>
      </c>
      <c r="I43" s="50" cm="1">
        <f t="array" ref="I43">IF(F43=0,"",G43/F43)</f>
        <v>1.07</v>
      </c>
      <c r="J43" t="str" s="42" cm="1">
        <f t="array" ref="J43">CHOOSE(MIN(6,INT(F43/20)+1),"0–20","20–40","40–60","60–80","80–100","100–120")</f>
        <v>0–20</v>
      </c>
      <c r="K43" t="str" s="42" cm="1">
        <f t="array" ref="K43">CHOOSE(MATCH(F43,{0;20;40;60;80;100}),"0–20","20–40","40–60","60–80","80–100","100–120")</f>
        <v>0–20</v>
      </c>
      <c r="L43" t="b" s="43" cm="1">
        <f t="array" ref="L43">ISBLANK(F43)</f>
        <v>0</v>
      </c>
    </row>
    <row r="44" ht="18.5" customHeight="1">
      <c r="A44" t="s" s="36">
        <v>87</v>
      </c>
      <c r="B44" s="37">
        <v>45701</v>
      </c>
      <c r="C44" t="s" s="38">
        <v>16</v>
      </c>
      <c r="D44" t="s" s="38">
        <v>63</v>
      </c>
      <c r="E44" t="s" s="38">
        <v>65</v>
      </c>
      <c r="F44" s="39">
        <v>39</v>
      </c>
      <c r="G44" s="40">
        <v>68.11</v>
      </c>
      <c r="H44" t="s" s="38">
        <v>19</v>
      </c>
      <c r="I44" s="41" cm="1">
        <f t="array" ref="I44">IF(F44=0,"",G44/F44)</f>
        <v>1.74641025641026</v>
      </c>
      <c r="J44" t="str" s="42" cm="1">
        <f t="array" ref="J44">CHOOSE(MIN(6,INT(F44/20)+1),"0–20","20–40","40–60","60–80","80–100","100–120")</f>
        <v>20–40</v>
      </c>
      <c r="K44" t="str" s="42" cm="1">
        <f t="array" ref="K44">CHOOSE(MATCH(F44,{0;20;40;60;80;100}),"0–20","20–40","40–60","60–80","80–100","100–120")</f>
        <v>20–40</v>
      </c>
      <c r="L44" t="b" s="43" cm="1">
        <f t="array" ref="L44">ISBLANK(F44)</f>
        <v>0</v>
      </c>
    </row>
    <row r="45" ht="18.5" customHeight="1">
      <c r="A45" t="s" s="44">
        <v>88</v>
      </c>
      <c r="B45" s="45">
        <v>45701</v>
      </c>
      <c r="C45" t="s" s="46">
        <v>26</v>
      </c>
      <c r="D45" t="s" s="46">
        <v>27</v>
      </c>
      <c r="E45" t="s" s="46">
        <v>43</v>
      </c>
      <c r="F45" s="47">
        <v>30</v>
      </c>
      <c r="G45" s="48">
        <v>51.21</v>
      </c>
      <c r="H45" t="s" s="49">
        <v>19</v>
      </c>
      <c r="I45" s="50" cm="1">
        <f t="array" ref="I45">IF(F45=0,"",G45/F45)</f>
        <v>1.707</v>
      </c>
      <c r="J45" t="str" s="42" cm="1">
        <f t="array" ref="J45">CHOOSE(MIN(6,INT(F45/20)+1),"0–20","20–40","40–60","60–80","80–100","100–120")</f>
        <v>20–40</v>
      </c>
      <c r="K45" t="str" s="42" cm="1">
        <f t="array" ref="K45">CHOOSE(MATCH(F45,{0;20;40;60;80;100}),"0–20","20–40","40–60","60–80","80–100","100–120")</f>
        <v>20–40</v>
      </c>
      <c r="L45" t="b" s="43" cm="1">
        <f t="array" ref="L45">ISBLANK(F45)</f>
        <v>0</v>
      </c>
    </row>
    <row r="46" ht="18.5" customHeight="1">
      <c r="A46" t="s" s="36">
        <v>89</v>
      </c>
      <c r="B46" s="37">
        <v>45701</v>
      </c>
      <c r="C46" t="s" s="38">
        <v>26</v>
      </c>
      <c r="D46" t="s" s="38">
        <v>45</v>
      </c>
      <c r="E46" t="s" s="38">
        <v>39</v>
      </c>
      <c r="F46" s="39">
        <v>25</v>
      </c>
      <c r="G46" s="40">
        <v>38.21</v>
      </c>
      <c r="H46" t="s" s="38">
        <v>19</v>
      </c>
      <c r="I46" s="41" cm="1">
        <f t="array" ref="I46">IF(F46=0,"",G46/F46)</f>
        <v>1.5284</v>
      </c>
      <c r="J46" t="str" s="42" cm="1">
        <f t="array" ref="J46">CHOOSE(MIN(6,INT(F46/20)+1),"0–20","20–40","40–60","60–80","80–100","100–120")</f>
        <v>20–40</v>
      </c>
      <c r="K46" t="str" s="42" cm="1">
        <f t="array" ref="K46">CHOOSE(MATCH(F46,{0;20;40;60;80;100}),"0–20","20–40","40–60","60–80","80–100","100–120")</f>
        <v>20–40</v>
      </c>
      <c r="L46" t="b" s="43" cm="1">
        <f t="array" ref="L46">ISBLANK(F46)</f>
        <v>0</v>
      </c>
    </row>
    <row r="47" ht="18.5" customHeight="1">
      <c r="A47" t="s" s="44">
        <v>90</v>
      </c>
      <c r="B47" s="45">
        <v>45701</v>
      </c>
      <c r="C47" t="s" s="46">
        <v>26</v>
      </c>
      <c r="D47" t="s" s="46">
        <v>45</v>
      </c>
      <c r="E47" t="s" s="46">
        <v>43</v>
      </c>
      <c r="F47" s="47">
        <v>42</v>
      </c>
      <c r="G47" s="48">
        <v>67.25</v>
      </c>
      <c r="H47" t="s" s="49">
        <v>19</v>
      </c>
      <c r="I47" s="50" cm="1">
        <f t="array" ref="I47">IF(F47=0,"",G47/F47)</f>
        <v>1.60119047619048</v>
      </c>
      <c r="J47" t="str" s="42" cm="1">
        <f t="array" ref="J47">CHOOSE(MIN(6,INT(F47/20)+1),"0–20","20–40","40–60","60–80","80–100","100–120")</f>
        <v>40–60</v>
      </c>
      <c r="K47" t="str" s="42" cm="1">
        <f t="array" ref="K47">CHOOSE(MATCH(F47,{0;20;40;60;80;100}),"0–20","20–40","40–60","60–80","80–100","100–120")</f>
        <v>40–60</v>
      </c>
      <c r="L47" t="b" s="43" cm="1">
        <f t="array" ref="L47">ISBLANK(F47)</f>
        <v>0</v>
      </c>
    </row>
    <row r="48" ht="18.5" customHeight="1">
      <c r="A48" t="s" s="36">
        <v>91</v>
      </c>
      <c r="B48" s="37">
        <v>45703</v>
      </c>
      <c r="C48" t="s" s="38">
        <v>26</v>
      </c>
      <c r="D48" t="s" s="38">
        <v>45</v>
      </c>
      <c r="E48" t="s" s="38">
        <v>28</v>
      </c>
      <c r="F48" s="39">
        <v>49</v>
      </c>
      <c r="G48" s="40">
        <v>75.61</v>
      </c>
      <c r="H48" t="s" s="38">
        <v>19</v>
      </c>
      <c r="I48" s="41" cm="1">
        <f t="array" ref="I48">IF(F48=0,"",G48/F48)</f>
        <v>1.5430612244898</v>
      </c>
      <c r="J48" t="str" s="42" cm="1">
        <f t="array" ref="J48">CHOOSE(MIN(6,INT(F48/20)+1),"0–20","20–40","40–60","60–80","80–100","100–120")</f>
        <v>40–60</v>
      </c>
      <c r="K48" t="str" s="42" cm="1">
        <f t="array" ref="K48">CHOOSE(MATCH(F48,{0;20;40;60;80;100}),"0–20","20–40","40–60","60–80","80–100","100–120")</f>
        <v>40–60</v>
      </c>
      <c r="L48" t="b" s="43" cm="1">
        <f t="array" ref="L48">ISBLANK(F48)</f>
        <v>0</v>
      </c>
    </row>
    <row r="49" ht="18.5" customHeight="1">
      <c r="A49" t="s" s="44">
        <v>92</v>
      </c>
      <c r="B49" s="45">
        <v>45703</v>
      </c>
      <c r="C49" t="s" s="46">
        <v>16</v>
      </c>
      <c r="D49" t="s" s="46">
        <v>63</v>
      </c>
      <c r="E49" t="s" s="46">
        <v>65</v>
      </c>
      <c r="F49" s="47">
        <v>46</v>
      </c>
      <c r="G49" s="48">
        <v>79.83</v>
      </c>
      <c r="H49" t="s" s="49">
        <v>24</v>
      </c>
      <c r="I49" s="50" cm="1">
        <f t="array" ref="I49">IF(F49=0,"",G49/F49)</f>
        <v>1.7354347826087</v>
      </c>
      <c r="J49" t="str" s="42" cm="1">
        <f t="array" ref="J49">CHOOSE(MIN(6,INT(F49/20)+1),"0–20","20–40","40–60","60–80","80–100","100–120")</f>
        <v>40–60</v>
      </c>
      <c r="K49" t="str" s="42" cm="1">
        <f t="array" ref="K49">CHOOSE(MATCH(F49,{0;20;40;60;80;100}),"0–20","20–40","40–60","60–80","80–100","100–120")</f>
        <v>40–60</v>
      </c>
      <c r="L49" t="b" s="43" cm="1">
        <f t="array" ref="L49">ISBLANK(F49)</f>
        <v>0</v>
      </c>
    </row>
    <row r="50" ht="18.5" customHeight="1">
      <c r="A50" t="s" s="36">
        <v>93</v>
      </c>
      <c r="B50" s="37">
        <v>45705</v>
      </c>
      <c r="C50" t="s" s="38">
        <v>30</v>
      </c>
      <c r="D50" t="s" s="38">
        <v>31</v>
      </c>
      <c r="E50" t="s" s="38">
        <v>32</v>
      </c>
      <c r="F50" s="39">
        <v>27</v>
      </c>
      <c r="G50" s="40">
        <v>29.19</v>
      </c>
      <c r="H50" t="s" s="38">
        <v>19</v>
      </c>
      <c r="I50" s="41" cm="1">
        <f t="array" ref="I50">IF(F50=0,"",G50/F50)</f>
        <v>1.08111111111111</v>
      </c>
      <c r="J50" t="str" s="42" cm="1">
        <f t="array" ref="J50">CHOOSE(MIN(6,INT(F50/20)+1),"0–20","20–40","40–60","60–80","80–100","100–120")</f>
        <v>20–40</v>
      </c>
      <c r="K50" t="str" s="42" cm="1">
        <f t="array" ref="K50">CHOOSE(MATCH(F50,{0;20;40;60;80;100}),"0–20","20–40","40–60","60–80","80–100","100–120")</f>
        <v>20–40</v>
      </c>
      <c r="L50" t="b" s="43" cm="1">
        <f t="array" ref="L50">ISBLANK(F50)</f>
        <v>0</v>
      </c>
    </row>
    <row r="51" ht="18.5" customHeight="1">
      <c r="A51" t="s" s="44">
        <v>94</v>
      </c>
      <c r="B51" s="45">
        <v>45705</v>
      </c>
      <c r="C51" t="s" s="46">
        <v>26</v>
      </c>
      <c r="D51" t="s" s="46">
        <v>38</v>
      </c>
      <c r="E51" t="s" s="46">
        <v>39</v>
      </c>
      <c r="F51" s="47">
        <v>50</v>
      </c>
      <c r="G51" s="48">
        <v>85.26000000000001</v>
      </c>
      <c r="H51" t="s" s="49">
        <v>19</v>
      </c>
      <c r="I51" s="50" cm="1">
        <f t="array" ref="I51">IF(F51=0,"",G51/F51)</f>
        <v>1.7052</v>
      </c>
      <c r="J51" t="str" s="42" cm="1">
        <f t="array" ref="J51">CHOOSE(MIN(6,INT(F51/20)+1),"0–20","20–40","40–60","60–80","80–100","100–120")</f>
        <v>40–60</v>
      </c>
      <c r="K51" t="str" s="42" cm="1">
        <f t="array" ref="K51">CHOOSE(MATCH(F51,{0;20;40;60;80;100}),"0–20","20–40","40–60","60–80","80–100","100–120")</f>
        <v>40–60</v>
      </c>
      <c r="L51" t="b" s="43" cm="1">
        <f t="array" ref="L51">ISBLANK(F51)</f>
        <v>0</v>
      </c>
    </row>
    <row r="52" ht="18.5" customHeight="1">
      <c r="A52" t="s" s="36">
        <v>95</v>
      </c>
      <c r="B52" s="37">
        <v>45705</v>
      </c>
      <c r="C52" t="s" s="38">
        <v>26</v>
      </c>
      <c r="D52" t="s" s="38">
        <v>45</v>
      </c>
      <c r="E52" t="s" s="38">
        <v>43</v>
      </c>
      <c r="F52" s="39">
        <v>12</v>
      </c>
      <c r="G52" s="40">
        <v>18.34</v>
      </c>
      <c r="H52" t="s" s="38">
        <v>19</v>
      </c>
      <c r="I52" s="41" cm="1">
        <f t="array" ref="I52">IF(F52=0,"",G52/F52)</f>
        <v>1.52833333333333</v>
      </c>
      <c r="J52" t="str" s="42" cm="1">
        <f t="array" ref="J52">CHOOSE(MIN(6,INT(F52/20)+1),"0–20","20–40","40–60","60–80","80–100","100–120")</f>
        <v>0–20</v>
      </c>
      <c r="K52" t="str" s="42" cm="1">
        <f t="array" ref="K52">CHOOSE(MATCH(F52,{0;20;40;60;80;100}),"0–20","20–40","40–60","60–80","80–100","100–120")</f>
        <v>0–20</v>
      </c>
      <c r="L52" t="b" s="43" cm="1">
        <f t="array" ref="L52">ISBLANK(F52)</f>
        <v>0</v>
      </c>
    </row>
    <row r="53" ht="18.5" customHeight="1">
      <c r="A53" t="s" s="44">
        <v>96</v>
      </c>
      <c r="B53" s="45">
        <v>45706</v>
      </c>
      <c r="C53" t="s" s="46">
        <v>26</v>
      </c>
      <c r="D53" t="s" s="46">
        <v>45</v>
      </c>
      <c r="E53" t="s" s="46">
        <v>43</v>
      </c>
      <c r="F53" s="47">
        <v>38</v>
      </c>
      <c r="G53" s="48">
        <v>54.93</v>
      </c>
      <c r="H53" t="s" s="49">
        <v>19</v>
      </c>
      <c r="I53" s="50" cm="1">
        <f t="array" ref="I53">IF(F53=0,"",G53/F53)</f>
        <v>1.44552631578947</v>
      </c>
      <c r="J53" t="str" s="42" cm="1">
        <f t="array" ref="J53">CHOOSE(MIN(6,INT(F53/20)+1),"0–20","20–40","40–60","60–80","80–100","100–120")</f>
        <v>20–40</v>
      </c>
      <c r="K53" t="str" s="42" cm="1">
        <f t="array" ref="K53">CHOOSE(MATCH(F53,{0;20;40;60;80;100}),"0–20","20–40","40–60","60–80","80–100","100–120")</f>
        <v>20–40</v>
      </c>
      <c r="L53" t="b" s="43" cm="1">
        <f t="array" ref="L53">ISBLANK(F53)</f>
        <v>0</v>
      </c>
    </row>
    <row r="54" ht="18.5" customHeight="1">
      <c r="A54" t="s" s="36">
        <v>97</v>
      </c>
      <c r="B54" s="37">
        <v>45707</v>
      </c>
      <c r="C54" t="s" s="38">
        <v>16</v>
      </c>
      <c r="D54" t="s" s="38">
        <v>17</v>
      </c>
      <c r="E54" t="s" s="38">
        <v>18</v>
      </c>
      <c r="F54" s="39">
        <v>9</v>
      </c>
      <c r="G54" s="40">
        <v>14.44</v>
      </c>
      <c r="H54" t="s" s="38">
        <v>19</v>
      </c>
      <c r="I54" s="41" cm="1">
        <f t="array" ref="I54">IF(F54=0,"",G54/F54)</f>
        <v>1.60444444444444</v>
      </c>
      <c r="J54" t="str" s="42" cm="1">
        <f t="array" ref="J54">CHOOSE(MIN(6,INT(F54/20)+1),"0–20","20–40","40–60","60–80","80–100","100–120")</f>
        <v>0–20</v>
      </c>
      <c r="K54" t="str" s="42" cm="1">
        <f t="array" ref="K54">CHOOSE(MATCH(F54,{0;20;40;60;80;100}),"0–20","20–40","40–60","60–80","80–100","100–120")</f>
        <v>0–20</v>
      </c>
      <c r="L54" t="b" s="43" cm="1">
        <f t="array" ref="L54">ISBLANK(F54)</f>
        <v>0</v>
      </c>
    </row>
    <row r="55" ht="18.5" customHeight="1">
      <c r="A55" t="s" s="44">
        <v>98</v>
      </c>
      <c r="B55" s="45">
        <v>45707</v>
      </c>
      <c r="C55" t="s" s="46">
        <v>30</v>
      </c>
      <c r="D55" t="s" s="46">
        <v>42</v>
      </c>
      <c r="E55" t="s" s="46">
        <v>32</v>
      </c>
      <c r="F55" s="47">
        <v>19</v>
      </c>
      <c r="G55" s="48">
        <v>22.54</v>
      </c>
      <c r="H55" t="s" s="49">
        <v>19</v>
      </c>
      <c r="I55" s="50" cm="1">
        <f t="array" ref="I55">IF(F55=0,"",G55/F55)</f>
        <v>1.18631578947368</v>
      </c>
      <c r="J55" t="str" s="42" cm="1">
        <f t="array" ref="J55">CHOOSE(MIN(6,INT(F55/20)+1),"0–20","20–40","40–60","60–80","80–100","100–120")</f>
        <v>0–20</v>
      </c>
      <c r="K55" t="str" s="42" cm="1">
        <f t="array" ref="K55">CHOOSE(MATCH(F55,{0;20;40;60;80;100}),"0–20","20–40","40–60","60–80","80–100","100–120")</f>
        <v>0–20</v>
      </c>
      <c r="L55" t="b" s="43" cm="1">
        <f t="array" ref="L55">ISBLANK(F55)</f>
        <v>0</v>
      </c>
    </row>
    <row r="56" ht="18.5" customHeight="1">
      <c r="A56" t="s" s="36">
        <v>99</v>
      </c>
      <c r="B56" s="37">
        <v>45709</v>
      </c>
      <c r="C56" t="s" s="38">
        <v>30</v>
      </c>
      <c r="D56" t="s" s="38">
        <v>42</v>
      </c>
      <c r="E56" t="s" s="38">
        <v>43</v>
      </c>
      <c r="F56" s="39">
        <v>16</v>
      </c>
      <c r="G56" s="40">
        <v>17.91</v>
      </c>
      <c r="H56" t="s" s="38">
        <v>19</v>
      </c>
      <c r="I56" s="41" cm="1">
        <f t="array" ref="I56">IF(F56=0,"",G56/F56)</f>
        <v>1.119375</v>
      </c>
      <c r="J56" t="str" s="42" cm="1">
        <f t="array" ref="J56">CHOOSE(MIN(6,INT(F56/20)+1),"0–20","20–40","40–60","60–80","80–100","100–120")</f>
        <v>0–20</v>
      </c>
      <c r="K56" t="str" s="42" cm="1">
        <f t="array" ref="K56">CHOOSE(MATCH(F56,{0;20;40;60;80;100}),"0–20","20–40","40–60","60–80","80–100","100–120")</f>
        <v>0–20</v>
      </c>
      <c r="L56" t="b" s="43" cm="1">
        <f t="array" ref="L56">ISBLANK(F56)</f>
        <v>0</v>
      </c>
    </row>
    <row r="57" ht="18.5" customHeight="1">
      <c r="A57" t="s" s="44">
        <v>100</v>
      </c>
      <c r="B57" s="45">
        <v>45709</v>
      </c>
      <c r="C57" t="s" s="46">
        <v>26</v>
      </c>
      <c r="D57" t="s" s="46">
        <v>27</v>
      </c>
      <c r="E57" t="s" s="46">
        <v>39</v>
      </c>
      <c r="F57" s="47">
        <v>54</v>
      </c>
      <c r="G57" s="48">
        <v>73</v>
      </c>
      <c r="H57" t="s" s="49">
        <v>24</v>
      </c>
      <c r="I57" s="50" cm="1">
        <f t="array" ref="I57">IF(F57=0,"",G57/F57)</f>
        <v>1.35185185185185</v>
      </c>
      <c r="J57" t="str" s="42" cm="1">
        <f t="array" ref="J57">CHOOSE(MIN(6,INT(F57/20)+1),"0–20","20–40","40–60","60–80","80–100","100–120")</f>
        <v>40–60</v>
      </c>
      <c r="K57" t="str" s="42" cm="1">
        <f t="array" ref="K57">CHOOSE(MATCH(F57,{0;20;40;60;80;100}),"0–20","20–40","40–60","60–80","80–100","100–120")</f>
        <v>40–60</v>
      </c>
      <c r="L57" t="b" s="43" cm="1">
        <f t="array" ref="L57">ISBLANK(F57)</f>
        <v>0</v>
      </c>
    </row>
    <row r="58" ht="18.5" customHeight="1">
      <c r="A58" t="s" s="36">
        <v>101</v>
      </c>
      <c r="B58" s="37">
        <v>45710</v>
      </c>
      <c r="C58" t="s" s="38">
        <v>26</v>
      </c>
      <c r="D58" t="s" s="38">
        <v>27</v>
      </c>
      <c r="E58" t="s" s="38">
        <v>39</v>
      </c>
      <c r="F58" s="39">
        <v>58</v>
      </c>
      <c r="G58" s="40">
        <v>98.44</v>
      </c>
      <c r="H58" t="s" s="38">
        <v>24</v>
      </c>
      <c r="I58" s="41" cm="1">
        <f t="array" ref="I58">IF(F58=0,"",G58/F58)</f>
        <v>1.69724137931034</v>
      </c>
      <c r="J58" t="str" s="42" cm="1">
        <f t="array" ref="J58">CHOOSE(MIN(6,INT(F58/20)+1),"0–20","20–40","40–60","60–80","80–100","100–120")</f>
        <v>40–60</v>
      </c>
      <c r="K58" t="str" s="42" cm="1">
        <f t="array" ref="K58">CHOOSE(MATCH(F58,{0;20;40;60;80;100}),"0–20","20–40","40–60","60–80","80–100","100–120")</f>
        <v>40–60</v>
      </c>
      <c r="L58" t="b" s="43" cm="1">
        <f t="array" ref="L58">ISBLANK(F58)</f>
        <v>0</v>
      </c>
    </row>
    <row r="59" ht="18.5" customHeight="1">
      <c r="A59" t="s" s="44">
        <v>102</v>
      </c>
      <c r="B59" s="45">
        <v>45710</v>
      </c>
      <c r="C59" t="s" s="46">
        <v>16</v>
      </c>
      <c r="D59" t="s" s="46">
        <v>63</v>
      </c>
      <c r="E59" t="s" s="46">
        <v>18</v>
      </c>
      <c r="F59" s="47">
        <v>11</v>
      </c>
      <c r="G59" s="48">
        <v>16.21</v>
      </c>
      <c r="H59" t="s" s="49">
        <v>19</v>
      </c>
      <c r="I59" s="50" cm="1">
        <f t="array" ref="I59">IF(F59=0,"",G59/F59)</f>
        <v>1.47363636363636</v>
      </c>
      <c r="J59" t="str" s="42" cm="1">
        <f t="array" ref="J59">CHOOSE(MIN(6,INT(F59/20)+1),"0–20","20–40","40–60","60–80","80–100","100–120")</f>
        <v>0–20</v>
      </c>
      <c r="K59" t="str" s="42" cm="1">
        <f t="array" ref="K59">CHOOSE(MATCH(F59,{0;20;40;60;80;100}),"0–20","20–40","40–60","60–80","80–100","100–120")</f>
        <v>0–20</v>
      </c>
      <c r="L59" t="b" s="43" cm="1">
        <f t="array" ref="L59">ISBLANK(F59)</f>
        <v>0</v>
      </c>
    </row>
    <row r="60" ht="18.5" customHeight="1">
      <c r="A60" t="s" s="36">
        <v>103</v>
      </c>
      <c r="B60" s="37">
        <v>45714</v>
      </c>
      <c r="C60" t="s" s="38">
        <v>21</v>
      </c>
      <c r="D60" t="s" s="38">
        <v>22</v>
      </c>
      <c r="E60" t="s" s="38">
        <v>52</v>
      </c>
      <c r="F60" s="39">
        <v>27</v>
      </c>
      <c r="G60" s="40">
        <v>30.71</v>
      </c>
      <c r="H60" t="s" s="38">
        <v>19</v>
      </c>
      <c r="I60" s="41" cm="1">
        <f t="array" ref="I60">IF(F60=0,"",G60/F60)</f>
        <v>1.13740740740741</v>
      </c>
      <c r="J60" t="str" s="42" cm="1">
        <f t="array" ref="J60">CHOOSE(MIN(6,INT(F60/20)+1),"0–20","20–40","40–60","60–80","80–100","100–120")</f>
        <v>20–40</v>
      </c>
      <c r="K60" t="str" s="42" cm="1">
        <f t="array" ref="K60">CHOOSE(MATCH(F60,{0;20;40;60;80;100}),"0–20","20–40","40–60","60–80","80–100","100–120")</f>
        <v>20–40</v>
      </c>
      <c r="L60" t="b" s="43" cm="1">
        <f t="array" ref="L60">ISBLANK(F60)</f>
        <v>0</v>
      </c>
    </row>
    <row r="61" ht="18.5" customHeight="1">
      <c r="A61" t="s" s="44">
        <v>104</v>
      </c>
      <c r="B61" s="45">
        <v>45715</v>
      </c>
      <c r="C61" t="s" s="46">
        <v>26</v>
      </c>
      <c r="D61" t="s" s="46">
        <v>27</v>
      </c>
      <c r="E61" t="s" s="46">
        <v>39</v>
      </c>
      <c r="F61" s="47">
        <v>22</v>
      </c>
      <c r="G61" s="48">
        <v>29.82</v>
      </c>
      <c r="H61" t="s" s="49">
        <v>19</v>
      </c>
      <c r="I61" s="50" cm="1">
        <f t="array" ref="I61">IF(F61=0,"",G61/F61)</f>
        <v>1.35545454545455</v>
      </c>
      <c r="J61" t="str" s="42" cm="1">
        <f t="array" ref="J61">CHOOSE(MIN(6,INT(F61/20)+1),"0–20","20–40","40–60","60–80","80–100","100–120")</f>
        <v>20–40</v>
      </c>
      <c r="K61" t="str" s="42" cm="1">
        <f t="array" ref="K61">CHOOSE(MATCH(F61,{0;20;40;60;80;100}),"0–20","20–40","40–60","60–80","80–100","100–120")</f>
        <v>20–40</v>
      </c>
      <c r="L61" t="b" s="43" cm="1">
        <f t="array" ref="L61">ISBLANK(F61)</f>
        <v>0</v>
      </c>
    </row>
    <row r="62" ht="18.5" customHeight="1">
      <c r="A62" t="s" s="36">
        <v>105</v>
      </c>
      <c r="B62" s="37">
        <v>45715</v>
      </c>
      <c r="C62" t="s" s="38">
        <v>34</v>
      </c>
      <c r="D62" t="s" s="38">
        <v>47</v>
      </c>
      <c r="E62" t="s" s="38">
        <v>36</v>
      </c>
      <c r="F62" s="39">
        <v>87</v>
      </c>
      <c r="G62" s="40">
        <v>170.93</v>
      </c>
      <c r="H62" t="s" s="38">
        <v>24</v>
      </c>
      <c r="I62" s="41" cm="1">
        <f t="array" ref="I62">IF(F62=0,"",G62/F62)</f>
        <v>1.96471264367816</v>
      </c>
      <c r="J62" t="str" s="42" cm="1">
        <f t="array" ref="J62">CHOOSE(MIN(6,INT(F62/20)+1),"0–20","20–40","40–60","60–80","80–100","100–120")</f>
        <v>80–100</v>
      </c>
      <c r="K62" t="str" s="42" cm="1">
        <f t="array" ref="K62">CHOOSE(MATCH(F62,{0;20;40;60;80;100}),"0–20","20–40","40–60","60–80","80–100","100–120")</f>
        <v>80–100</v>
      </c>
      <c r="L62" t="b" s="43" cm="1">
        <f t="array" ref="L62">ISBLANK(F62)</f>
        <v>0</v>
      </c>
    </row>
    <row r="63" ht="18.5" customHeight="1">
      <c r="A63" t="s" s="44">
        <v>106</v>
      </c>
      <c r="B63" s="45">
        <v>45716</v>
      </c>
      <c r="C63" t="s" s="46">
        <v>30</v>
      </c>
      <c r="D63" t="s" s="46">
        <v>42</v>
      </c>
      <c r="E63" t="s" s="46">
        <v>32</v>
      </c>
      <c r="F63" s="47">
        <v>25</v>
      </c>
      <c r="G63" s="48">
        <v>32.07</v>
      </c>
      <c r="H63" t="s" s="49">
        <v>19</v>
      </c>
      <c r="I63" s="50" cm="1">
        <f t="array" ref="I63">IF(F63=0,"",G63/F63)</f>
        <v>1.2828</v>
      </c>
      <c r="J63" t="str" s="42" cm="1">
        <f t="array" ref="J63">CHOOSE(MIN(6,INT(F63/20)+1),"0–20","20–40","40–60","60–80","80–100","100–120")</f>
        <v>20–40</v>
      </c>
      <c r="K63" t="str" s="42" cm="1">
        <f t="array" ref="K63">CHOOSE(MATCH(F63,{0;20;40;60;80;100}),"0–20","20–40","40–60","60–80","80–100","100–120")</f>
        <v>20–40</v>
      </c>
      <c r="L63" t="b" s="43" cm="1">
        <f t="array" ref="L63">ISBLANK(F63)</f>
        <v>0</v>
      </c>
    </row>
    <row r="64" ht="18.5" customHeight="1">
      <c r="A64" t="s" s="36">
        <v>107</v>
      </c>
      <c r="B64" s="37">
        <v>45718</v>
      </c>
      <c r="C64" t="s" s="38">
        <v>16</v>
      </c>
      <c r="D64" t="s" s="38">
        <v>17</v>
      </c>
      <c r="E64" t="s" s="38">
        <v>36</v>
      </c>
      <c r="F64" s="39">
        <v>24</v>
      </c>
      <c r="G64" s="40">
        <v>38.37</v>
      </c>
      <c r="H64" t="s" s="38">
        <v>19</v>
      </c>
      <c r="I64" s="41" cm="1">
        <f t="array" ref="I64">IF(F64=0,"",G64/F64)</f>
        <v>1.59875</v>
      </c>
      <c r="J64" t="str" s="42" cm="1">
        <f t="array" ref="J64">CHOOSE(MIN(6,INT(F64/20)+1),"0–20","20–40","40–60","60–80","80–100","100–120")</f>
        <v>20–40</v>
      </c>
      <c r="K64" t="str" s="42" cm="1">
        <f t="array" ref="K64">CHOOSE(MATCH(F64,{0;20;40;60;80;100}),"0–20","20–40","40–60","60–80","80–100","100–120")</f>
        <v>20–40</v>
      </c>
      <c r="L64" t="b" s="43" cm="1">
        <f t="array" ref="L64">ISBLANK(F64)</f>
        <v>0</v>
      </c>
    </row>
    <row r="65" ht="18.5" customHeight="1">
      <c r="A65" t="s" s="44">
        <v>108</v>
      </c>
      <c r="B65" s="45">
        <v>45720</v>
      </c>
      <c r="C65" t="s" s="46">
        <v>30</v>
      </c>
      <c r="D65" t="s" s="46">
        <v>31</v>
      </c>
      <c r="E65" t="s" s="46">
        <v>43</v>
      </c>
      <c r="F65" s="47">
        <v>12</v>
      </c>
      <c r="G65" s="48">
        <v>14.1</v>
      </c>
      <c r="H65" t="s" s="49">
        <v>19</v>
      </c>
      <c r="I65" s="50" cm="1">
        <f t="array" ref="I65">IF(F65=0,"",G65/F65)</f>
        <v>1.175</v>
      </c>
      <c r="J65" t="str" s="42" cm="1">
        <f t="array" ref="J65">CHOOSE(MIN(6,INT(F65/20)+1),"0–20","20–40","40–60","60–80","80–100","100–120")</f>
        <v>0–20</v>
      </c>
      <c r="K65" t="str" s="42" cm="1">
        <f t="array" ref="K65">CHOOSE(MATCH(F65,{0;20;40;60;80;100}),"0–20","20–40","40–60","60–80","80–100","100–120")</f>
        <v>0–20</v>
      </c>
      <c r="L65" t="b" s="43" cm="1">
        <f t="array" ref="L65">ISBLANK(F65)</f>
        <v>0</v>
      </c>
    </row>
    <row r="66" ht="18.5" customHeight="1">
      <c r="A66" t="s" s="36">
        <v>109</v>
      </c>
      <c r="B66" s="37">
        <v>45720</v>
      </c>
      <c r="C66" t="s" s="38">
        <v>26</v>
      </c>
      <c r="D66" t="s" s="38">
        <v>38</v>
      </c>
      <c r="E66" t="s" s="38">
        <v>28</v>
      </c>
      <c r="F66" s="39">
        <v>34</v>
      </c>
      <c r="G66" s="40">
        <v>47.13</v>
      </c>
      <c r="H66" t="s" s="38">
        <v>19</v>
      </c>
      <c r="I66" s="41" cm="1">
        <f t="array" ref="I66">IF(F66=0,"",G66/F66)</f>
        <v>1.38617647058824</v>
      </c>
      <c r="J66" t="str" s="42" cm="1">
        <f t="array" ref="J66">CHOOSE(MIN(6,INT(F66/20)+1),"0–20","20–40","40–60","60–80","80–100","100–120")</f>
        <v>20–40</v>
      </c>
      <c r="K66" t="str" s="42" cm="1">
        <f t="array" ref="K66">CHOOSE(MATCH(F66,{0;20;40;60;80;100}),"0–20","20–40","40–60","60–80","80–100","100–120")</f>
        <v>20–40</v>
      </c>
      <c r="L66" t="b" s="43" cm="1">
        <f t="array" ref="L66">ISBLANK(F66)</f>
        <v>0</v>
      </c>
    </row>
    <row r="67" ht="18.5" customHeight="1">
      <c r="A67" t="s" s="44">
        <v>110</v>
      </c>
      <c r="B67" s="45">
        <v>45721</v>
      </c>
      <c r="C67" t="s" s="46">
        <v>21</v>
      </c>
      <c r="D67" t="s" s="46">
        <v>22</v>
      </c>
      <c r="E67" t="s" s="46">
        <v>32</v>
      </c>
      <c r="F67" s="47">
        <v>6</v>
      </c>
      <c r="G67" s="48">
        <v>6.96</v>
      </c>
      <c r="H67" t="s" s="49">
        <v>19</v>
      </c>
      <c r="I67" s="50" cm="1">
        <f t="array" ref="I67">IF(F67=0,"",G67/F67)</f>
        <v>1.16</v>
      </c>
      <c r="J67" t="str" s="42" cm="1">
        <f t="array" ref="J67">CHOOSE(MIN(6,INT(F67/20)+1),"0–20","20–40","40–60","60–80","80–100","100–120")</f>
        <v>0–20</v>
      </c>
      <c r="K67" t="str" s="42" cm="1">
        <f t="array" ref="K67">CHOOSE(MATCH(F67,{0;20;40;60;80;100}),"0–20","20–40","40–60","60–80","80–100","100–120")</f>
        <v>0–20</v>
      </c>
      <c r="L67" t="b" s="43" cm="1">
        <f t="array" ref="L67">ISBLANK(F67)</f>
        <v>0</v>
      </c>
    </row>
    <row r="68" ht="18.5" customHeight="1">
      <c r="A68" t="s" s="36">
        <v>111</v>
      </c>
      <c r="B68" s="37">
        <v>45722</v>
      </c>
      <c r="C68" t="s" s="38">
        <v>30</v>
      </c>
      <c r="D68" t="s" s="38">
        <v>42</v>
      </c>
      <c r="E68" t="s" s="38">
        <v>43</v>
      </c>
      <c r="F68" s="39">
        <v>27</v>
      </c>
      <c r="G68" s="40">
        <v>36.84</v>
      </c>
      <c r="H68" t="s" s="38">
        <v>19</v>
      </c>
      <c r="I68" s="41" cm="1">
        <f t="array" ref="I68">IF(F68=0,"",G68/F68)</f>
        <v>1.36444444444444</v>
      </c>
      <c r="J68" t="str" s="42" cm="1">
        <f t="array" ref="J68">CHOOSE(MIN(6,INT(F68/20)+1),"0–20","20–40","40–60","60–80","80–100","100–120")</f>
        <v>20–40</v>
      </c>
      <c r="K68" t="str" s="42" cm="1">
        <f t="array" ref="K68">CHOOSE(MATCH(F68,{0;20;40;60;80;100}),"0–20","20–40","40–60","60–80","80–100","100–120")</f>
        <v>20–40</v>
      </c>
      <c r="L68" t="b" s="43" cm="1">
        <f t="array" ref="L68">ISBLANK(F68)</f>
        <v>0</v>
      </c>
    </row>
    <row r="69" ht="18.5" customHeight="1">
      <c r="A69" t="s" s="44">
        <v>112</v>
      </c>
      <c r="B69" s="45">
        <v>45722</v>
      </c>
      <c r="C69" t="s" s="46">
        <v>16</v>
      </c>
      <c r="D69" t="s" s="46">
        <v>63</v>
      </c>
      <c r="E69" t="s" s="46">
        <v>65</v>
      </c>
      <c r="F69" s="47">
        <v>29</v>
      </c>
      <c r="G69" s="48">
        <v>42.5</v>
      </c>
      <c r="H69" t="s" s="49">
        <v>19</v>
      </c>
      <c r="I69" s="50" cm="1">
        <f t="array" ref="I69">IF(F69=0,"",G69/F69)</f>
        <v>1.46551724137931</v>
      </c>
      <c r="J69" t="str" s="42" cm="1">
        <f t="array" ref="J69">CHOOSE(MIN(6,INT(F69/20)+1),"0–20","20–40","40–60","60–80","80–100","100–120")</f>
        <v>20–40</v>
      </c>
      <c r="K69" t="str" s="42" cm="1">
        <f t="array" ref="K69">CHOOSE(MATCH(F69,{0;20;40;60;80;100}),"0–20","20–40","40–60","60–80","80–100","100–120")</f>
        <v>20–40</v>
      </c>
      <c r="L69" t="b" s="43" cm="1">
        <f t="array" ref="L69">ISBLANK(F69)</f>
        <v>0</v>
      </c>
    </row>
    <row r="70" ht="18.5" customHeight="1">
      <c r="A70" t="s" s="36">
        <v>113</v>
      </c>
      <c r="B70" s="37">
        <v>45722</v>
      </c>
      <c r="C70" t="s" s="38">
        <v>26</v>
      </c>
      <c r="D70" t="s" s="38">
        <v>27</v>
      </c>
      <c r="E70" t="s" s="38">
        <v>43</v>
      </c>
      <c r="F70" s="39">
        <v>23</v>
      </c>
      <c r="G70" s="40">
        <v>39.63</v>
      </c>
      <c r="H70" t="s" s="38">
        <v>19</v>
      </c>
      <c r="I70" s="41" cm="1">
        <f t="array" ref="I70">IF(F70=0,"",G70/F70)</f>
        <v>1.72304347826087</v>
      </c>
      <c r="J70" t="str" s="42" cm="1">
        <f t="array" ref="J70">CHOOSE(MIN(6,INT(F70/20)+1),"0–20","20–40","40–60","60–80","80–100","100–120")</f>
        <v>20–40</v>
      </c>
      <c r="K70" t="str" s="42" cm="1">
        <f t="array" ref="K70">CHOOSE(MATCH(F70,{0;20;40;60;80;100}),"0–20","20–40","40–60","60–80","80–100","100–120")</f>
        <v>20–40</v>
      </c>
      <c r="L70" t="b" s="43" cm="1">
        <f t="array" ref="L70">ISBLANK(F70)</f>
        <v>0</v>
      </c>
    </row>
    <row r="71" ht="18.5" customHeight="1">
      <c r="A71" t="s" s="44">
        <v>114</v>
      </c>
      <c r="B71" s="45">
        <v>45723</v>
      </c>
      <c r="C71" t="s" s="46">
        <v>16</v>
      </c>
      <c r="D71" t="s" s="46">
        <v>63</v>
      </c>
      <c r="E71" t="s" s="46">
        <v>18</v>
      </c>
      <c r="F71" s="47">
        <v>14</v>
      </c>
      <c r="G71" s="48">
        <v>25.56</v>
      </c>
      <c r="H71" t="s" s="49">
        <v>19</v>
      </c>
      <c r="I71" s="50" cm="1">
        <f t="array" ref="I71">IF(F71=0,"",G71/F71)</f>
        <v>1.82571428571429</v>
      </c>
      <c r="J71" t="str" s="42" cm="1">
        <f t="array" ref="J71">CHOOSE(MIN(6,INT(F71/20)+1),"0–20","20–40","40–60","60–80","80–100","100–120")</f>
        <v>0–20</v>
      </c>
      <c r="K71" t="str" s="42" cm="1">
        <f t="array" ref="K71">CHOOSE(MATCH(F71,{0;20;40;60;80;100}),"0–20","20–40","40–60","60–80","80–100","100–120")</f>
        <v>0–20</v>
      </c>
      <c r="L71" t="b" s="43" cm="1">
        <f t="array" ref="L71">ISBLANK(F71)</f>
        <v>0</v>
      </c>
    </row>
    <row r="72" ht="18.5" customHeight="1">
      <c r="A72" t="s" s="36">
        <v>115</v>
      </c>
      <c r="B72" s="37">
        <v>45723</v>
      </c>
      <c r="C72" t="s" s="38">
        <v>21</v>
      </c>
      <c r="D72" t="s" s="38">
        <v>22</v>
      </c>
      <c r="E72" t="s" s="38">
        <v>23</v>
      </c>
      <c r="F72" s="39">
        <v>22</v>
      </c>
      <c r="G72" s="40">
        <v>27.46</v>
      </c>
      <c r="H72" t="s" s="38">
        <v>19</v>
      </c>
      <c r="I72" s="41" cm="1">
        <f t="array" ref="I72">IF(F72=0,"",G72/F72)</f>
        <v>1.24818181818182</v>
      </c>
      <c r="J72" t="str" s="42" cm="1">
        <f t="array" ref="J72">CHOOSE(MIN(6,INT(F72/20)+1),"0–20","20–40","40–60","60–80","80–100","100–120")</f>
        <v>20–40</v>
      </c>
      <c r="K72" t="str" s="42" cm="1">
        <f t="array" ref="K72">CHOOSE(MATCH(F72,{0;20;40;60;80;100}),"0–20","20–40","40–60","60–80","80–100","100–120")</f>
        <v>20–40</v>
      </c>
      <c r="L72" t="b" s="43" cm="1">
        <f t="array" ref="L72">ISBLANK(F72)</f>
        <v>0</v>
      </c>
    </row>
    <row r="73" ht="18.5" customHeight="1">
      <c r="A73" t="s" s="44">
        <v>116</v>
      </c>
      <c r="B73" s="45">
        <v>45724</v>
      </c>
      <c r="C73" t="s" s="46">
        <v>30</v>
      </c>
      <c r="D73" t="s" s="46">
        <v>31</v>
      </c>
      <c r="E73" t="s" s="46">
        <v>32</v>
      </c>
      <c r="F73" s="47">
        <v>24</v>
      </c>
      <c r="G73" s="48">
        <v>29</v>
      </c>
      <c r="H73" t="s" s="49">
        <v>19</v>
      </c>
      <c r="I73" s="50" cm="1">
        <f t="array" ref="I73">IF(F73=0,"",G73/F73)</f>
        <v>1.20833333333333</v>
      </c>
      <c r="J73" t="str" s="42" cm="1">
        <f t="array" ref="J73">CHOOSE(MIN(6,INT(F73/20)+1),"0–20","20–40","40–60","60–80","80–100","100–120")</f>
        <v>20–40</v>
      </c>
      <c r="K73" t="str" s="42" cm="1">
        <f t="array" ref="K73">CHOOSE(MATCH(F73,{0;20;40;60;80;100}),"0–20","20–40","40–60","60–80","80–100","100–120")</f>
        <v>20–40</v>
      </c>
      <c r="L73" t="b" s="43" cm="1">
        <f t="array" ref="L73">ISBLANK(F73)</f>
        <v>0</v>
      </c>
    </row>
    <row r="74" ht="18.5" customHeight="1">
      <c r="A74" t="s" s="36">
        <v>117</v>
      </c>
      <c r="B74" s="37">
        <v>45724</v>
      </c>
      <c r="C74" t="s" s="38">
        <v>30</v>
      </c>
      <c r="D74" t="s" s="38">
        <v>42</v>
      </c>
      <c r="E74" t="s" s="38">
        <v>32</v>
      </c>
      <c r="F74" s="39">
        <v>25</v>
      </c>
      <c r="G74" s="40">
        <v>31.96</v>
      </c>
      <c r="H74" t="s" s="38">
        <v>19</v>
      </c>
      <c r="I74" s="41" cm="1">
        <f t="array" ref="I74">IF(F74=0,"",G74/F74)</f>
        <v>1.2784</v>
      </c>
      <c r="J74" t="str" s="42" cm="1">
        <f t="array" ref="J74">CHOOSE(MIN(6,INT(F74/20)+1),"0–20","20–40","40–60","60–80","80–100","100–120")</f>
        <v>20–40</v>
      </c>
      <c r="K74" t="str" s="42" cm="1">
        <f t="array" ref="K74">CHOOSE(MATCH(F74,{0;20;40;60;80;100}),"0–20","20–40","40–60","60–80","80–100","100–120")</f>
        <v>20–40</v>
      </c>
      <c r="L74" t="b" s="43" cm="1">
        <f t="array" ref="L74">ISBLANK(F74)</f>
        <v>0</v>
      </c>
    </row>
    <row r="75" ht="18.5" customHeight="1">
      <c r="A75" t="s" s="44">
        <v>118</v>
      </c>
      <c r="B75" s="45">
        <v>45725</v>
      </c>
      <c r="C75" t="s" s="46">
        <v>16</v>
      </c>
      <c r="D75" t="s" s="46">
        <v>17</v>
      </c>
      <c r="E75" t="s" s="46">
        <v>36</v>
      </c>
      <c r="F75" s="47">
        <v>35</v>
      </c>
      <c r="G75" s="48">
        <v>53.07</v>
      </c>
      <c r="H75" t="s" s="49">
        <v>19</v>
      </c>
      <c r="I75" s="50" cm="1">
        <f t="array" ref="I75">IF(F75=0,"",G75/F75)</f>
        <v>1.51628571428571</v>
      </c>
      <c r="J75" t="str" s="42" cm="1">
        <f t="array" ref="J75">CHOOSE(MIN(6,INT(F75/20)+1),"0–20","20–40","40–60","60–80","80–100","100–120")</f>
        <v>20–40</v>
      </c>
      <c r="K75" t="str" s="42" cm="1">
        <f t="array" ref="K75">CHOOSE(MATCH(F75,{0;20;40;60;80;100}),"0–20","20–40","40–60","60–80","80–100","100–120")</f>
        <v>20–40</v>
      </c>
      <c r="L75" t="b" s="43" cm="1">
        <f t="array" ref="L75">ISBLANK(F75)</f>
        <v>0</v>
      </c>
    </row>
    <row r="76" ht="18.5" customHeight="1">
      <c r="A76" t="s" s="36">
        <v>119</v>
      </c>
      <c r="B76" s="37">
        <v>45725</v>
      </c>
      <c r="C76" t="s" s="38">
        <v>21</v>
      </c>
      <c r="D76" t="s" s="38">
        <v>22</v>
      </c>
      <c r="E76" t="s" s="38">
        <v>52</v>
      </c>
      <c r="F76" s="39">
        <v>21</v>
      </c>
      <c r="G76" s="40">
        <v>23.59</v>
      </c>
      <c r="H76" t="s" s="38">
        <v>19</v>
      </c>
      <c r="I76" s="41" cm="1">
        <f t="array" ref="I76">IF(F76=0,"",G76/F76)</f>
        <v>1.12333333333333</v>
      </c>
      <c r="J76" t="str" s="42" cm="1">
        <f t="array" ref="J76">CHOOSE(MIN(6,INT(F76/20)+1),"0–20","20–40","40–60","60–80","80–100","100–120")</f>
        <v>20–40</v>
      </c>
      <c r="K76" t="str" s="42" cm="1">
        <f t="array" ref="K76">CHOOSE(MATCH(F76,{0;20;40;60;80;100}),"0–20","20–40","40–60","60–80","80–100","100–120")</f>
        <v>20–40</v>
      </c>
      <c r="L76" t="b" s="43" cm="1">
        <f t="array" ref="L76">ISBLANK(F76)</f>
        <v>0</v>
      </c>
    </row>
    <row r="77" ht="18.5" customHeight="1">
      <c r="A77" t="s" s="44">
        <v>120</v>
      </c>
      <c r="B77" s="45">
        <v>45725</v>
      </c>
      <c r="C77" t="s" s="46">
        <v>30</v>
      </c>
      <c r="D77" t="s" s="46">
        <v>31</v>
      </c>
      <c r="E77" t="s" s="46">
        <v>43</v>
      </c>
      <c r="F77" s="47">
        <v>19</v>
      </c>
      <c r="G77" s="48">
        <v>20.85</v>
      </c>
      <c r="H77" t="s" s="49">
        <v>19</v>
      </c>
      <c r="I77" s="50" cm="1">
        <f t="array" ref="I77">IF(F77=0,"",G77/F77)</f>
        <v>1.09736842105263</v>
      </c>
      <c r="J77" t="str" s="42" cm="1">
        <f t="array" ref="J77">CHOOSE(MIN(6,INT(F77/20)+1),"0–20","20–40","40–60","60–80","80–100","100–120")</f>
        <v>0–20</v>
      </c>
      <c r="K77" t="str" s="42" cm="1">
        <f t="array" ref="K77">CHOOSE(MATCH(F77,{0;20;40;60;80;100}),"0–20","20–40","40–60","60–80","80–100","100–120")</f>
        <v>0–20</v>
      </c>
      <c r="L77" t="b" s="43" cm="1">
        <f t="array" ref="L77">ISBLANK(F77)</f>
        <v>0</v>
      </c>
    </row>
    <row r="78" ht="18.5" customHeight="1">
      <c r="A78" t="s" s="36">
        <v>121</v>
      </c>
      <c r="B78" s="37">
        <v>45726</v>
      </c>
      <c r="C78" t="s" s="38">
        <v>16</v>
      </c>
      <c r="D78" t="s" s="38">
        <v>17</v>
      </c>
      <c r="E78" t="s" s="38">
        <v>36</v>
      </c>
      <c r="F78" s="39">
        <v>45</v>
      </c>
      <c r="G78" s="40">
        <v>68.01000000000001</v>
      </c>
      <c r="H78" t="s" s="38">
        <v>19</v>
      </c>
      <c r="I78" s="41" cm="1">
        <f t="array" ref="I78">IF(F78=0,"",G78/F78)</f>
        <v>1.51133333333333</v>
      </c>
      <c r="J78" t="str" s="42" cm="1">
        <f t="array" ref="J78">CHOOSE(MIN(6,INT(F78/20)+1),"0–20","20–40","40–60","60–80","80–100","100–120")</f>
        <v>40–60</v>
      </c>
      <c r="K78" t="str" s="42" cm="1">
        <f t="array" ref="K78">CHOOSE(MATCH(F78,{0;20;40;60;80;100}),"0–20","20–40","40–60","60–80","80–100","100–120")</f>
        <v>40–60</v>
      </c>
      <c r="L78" t="b" s="43" cm="1">
        <f t="array" ref="L78">ISBLANK(F78)</f>
        <v>0</v>
      </c>
    </row>
    <row r="79" ht="18.5" customHeight="1">
      <c r="A79" t="s" s="44">
        <v>122</v>
      </c>
      <c r="B79" s="45">
        <v>45729</v>
      </c>
      <c r="C79" t="s" s="46">
        <v>26</v>
      </c>
      <c r="D79" t="s" s="46">
        <v>45</v>
      </c>
      <c r="E79" t="s" s="46">
        <v>28</v>
      </c>
      <c r="F79" s="47">
        <v>35</v>
      </c>
      <c r="G79" s="48">
        <v>51.99</v>
      </c>
      <c r="H79" t="s" s="49">
        <v>19</v>
      </c>
      <c r="I79" s="50" cm="1">
        <f t="array" ref="I79">IF(F79=0,"",G79/F79)</f>
        <v>1.48542857142857</v>
      </c>
      <c r="J79" t="str" s="42" cm="1">
        <f t="array" ref="J79">CHOOSE(MIN(6,INT(F79/20)+1),"0–20","20–40","40–60","60–80","80–100","100–120")</f>
        <v>20–40</v>
      </c>
      <c r="K79" t="str" s="42" cm="1">
        <f t="array" ref="K79">CHOOSE(MATCH(F79,{0;20;40;60;80;100}),"0–20","20–40","40–60","60–80","80–100","100–120")</f>
        <v>20–40</v>
      </c>
      <c r="L79" t="b" s="43" cm="1">
        <f t="array" ref="L79">ISBLANK(F79)</f>
        <v>0</v>
      </c>
    </row>
    <row r="80" ht="18.5" customHeight="1">
      <c r="A80" t="s" s="36">
        <v>123</v>
      </c>
      <c r="B80" s="37">
        <v>45729</v>
      </c>
      <c r="C80" t="s" s="38">
        <v>26</v>
      </c>
      <c r="D80" t="s" s="38">
        <v>27</v>
      </c>
      <c r="E80" t="s" s="38">
        <v>39</v>
      </c>
      <c r="F80" s="39">
        <v>34</v>
      </c>
      <c r="G80" s="40">
        <v>47.97</v>
      </c>
      <c r="H80" t="s" s="38">
        <v>19</v>
      </c>
      <c r="I80" s="41" cm="1">
        <f t="array" ref="I80">IF(F80=0,"",G80/F80)</f>
        <v>1.41088235294118</v>
      </c>
      <c r="J80" t="str" s="42" cm="1">
        <f t="array" ref="J80">CHOOSE(MIN(6,INT(F80/20)+1),"0–20","20–40","40–60","60–80","80–100","100–120")</f>
        <v>20–40</v>
      </c>
      <c r="K80" t="str" s="42" cm="1">
        <f t="array" ref="K80">CHOOSE(MATCH(F80,{0;20;40;60;80;100}),"0–20","20–40","40–60","60–80","80–100","100–120")</f>
        <v>20–40</v>
      </c>
      <c r="L80" t="b" s="43" cm="1">
        <f t="array" ref="L80">ISBLANK(F80)</f>
        <v>0</v>
      </c>
    </row>
    <row r="81" ht="18.5" customHeight="1">
      <c r="A81" t="s" s="44">
        <v>124</v>
      </c>
      <c r="B81" s="45">
        <v>45729</v>
      </c>
      <c r="C81" t="s" s="46">
        <v>30</v>
      </c>
      <c r="D81" t="s" s="46">
        <v>42</v>
      </c>
      <c r="E81" t="s" s="46">
        <v>32</v>
      </c>
      <c r="F81" s="47">
        <v>34</v>
      </c>
      <c r="G81" s="48">
        <v>39.38</v>
      </c>
      <c r="H81" t="s" s="49">
        <v>19</v>
      </c>
      <c r="I81" s="50" cm="1">
        <f t="array" ref="I81">IF(F81=0,"",G81/F81)</f>
        <v>1.15823529411765</v>
      </c>
      <c r="J81" t="str" s="42" cm="1">
        <f t="array" ref="J81">CHOOSE(MIN(6,INT(F81/20)+1),"0–20","20–40","40–60","60–80","80–100","100–120")</f>
        <v>20–40</v>
      </c>
      <c r="K81" t="str" s="42" cm="1">
        <f t="array" ref="K81">CHOOSE(MATCH(F81,{0;20;40;60;80;100}),"0–20","20–40","40–60","60–80","80–100","100–120")</f>
        <v>20–40</v>
      </c>
      <c r="L81" t="b" s="43" cm="1">
        <f t="array" ref="L81">ISBLANK(F81)</f>
        <v>0</v>
      </c>
    </row>
    <row r="82" ht="18.5" customHeight="1">
      <c r="A82" t="s" s="36">
        <v>125</v>
      </c>
      <c r="B82" s="37">
        <v>45731</v>
      </c>
      <c r="C82" t="s" s="38">
        <v>26</v>
      </c>
      <c r="D82" t="s" s="38">
        <v>27</v>
      </c>
      <c r="E82" t="s" s="38">
        <v>28</v>
      </c>
      <c r="F82" s="39">
        <v>32</v>
      </c>
      <c r="G82" s="40">
        <v>44.1</v>
      </c>
      <c r="H82" t="s" s="38">
        <v>19</v>
      </c>
      <c r="I82" s="41" cm="1">
        <f t="array" ref="I82">IF(F82=0,"",G82/F82)</f>
        <v>1.378125</v>
      </c>
      <c r="J82" t="str" s="42" cm="1">
        <f t="array" ref="J82">CHOOSE(MIN(6,INT(F82/20)+1),"0–20","20–40","40–60","60–80","80–100","100–120")</f>
        <v>20–40</v>
      </c>
      <c r="K82" t="str" s="42" cm="1">
        <f t="array" ref="K82">CHOOSE(MATCH(F82,{0;20;40;60;80;100}),"0–20","20–40","40–60","60–80","80–100","100–120")</f>
        <v>20–40</v>
      </c>
      <c r="L82" t="b" s="43" cm="1">
        <f t="array" ref="L82">ISBLANK(F82)</f>
        <v>0</v>
      </c>
    </row>
    <row r="83" ht="18.5" customHeight="1">
      <c r="A83" t="s" s="44">
        <v>126</v>
      </c>
      <c r="B83" s="45">
        <v>45731</v>
      </c>
      <c r="C83" t="s" s="46">
        <v>26</v>
      </c>
      <c r="D83" t="s" s="46">
        <v>27</v>
      </c>
      <c r="E83" t="s" s="46">
        <v>39</v>
      </c>
      <c r="F83" s="47">
        <v>23</v>
      </c>
      <c r="G83" s="48">
        <v>35.36</v>
      </c>
      <c r="H83" t="s" s="49">
        <v>19</v>
      </c>
      <c r="I83" s="50" cm="1">
        <f t="array" ref="I83">IF(F83=0,"",G83/F83)</f>
        <v>1.53739130434783</v>
      </c>
      <c r="J83" t="str" s="42" cm="1">
        <f t="array" ref="J83">CHOOSE(MIN(6,INT(F83/20)+1),"0–20","20–40","40–60","60–80","80–100","100–120")</f>
        <v>20–40</v>
      </c>
      <c r="K83" t="str" s="42" cm="1">
        <f t="array" ref="K83">CHOOSE(MATCH(F83,{0;20;40;60;80;100}),"0–20","20–40","40–60","60–80","80–100","100–120")</f>
        <v>20–40</v>
      </c>
      <c r="L83" t="b" s="43" cm="1">
        <f t="array" ref="L83">ISBLANK(F83)</f>
        <v>0</v>
      </c>
    </row>
    <row r="84" ht="18.5" customHeight="1">
      <c r="A84" t="s" s="36">
        <v>127</v>
      </c>
      <c r="B84" s="37">
        <v>45732</v>
      </c>
      <c r="C84" t="s" s="38">
        <v>26</v>
      </c>
      <c r="D84" t="s" s="38">
        <v>38</v>
      </c>
      <c r="E84" t="s" s="38">
        <v>43</v>
      </c>
      <c r="F84" s="39">
        <v>49</v>
      </c>
      <c r="G84" s="40">
        <v>67.53</v>
      </c>
      <c r="H84" t="s" s="38">
        <v>19</v>
      </c>
      <c r="I84" s="41" cm="1">
        <f t="array" ref="I84">IF(F84=0,"",G84/F84)</f>
        <v>1.37816326530612</v>
      </c>
      <c r="J84" t="str" s="42" cm="1">
        <f t="array" ref="J84">CHOOSE(MIN(6,INT(F84/20)+1),"0–20","20–40","40–60","60–80","80–100","100–120")</f>
        <v>40–60</v>
      </c>
      <c r="K84" t="str" s="42" cm="1">
        <f t="array" ref="K84">CHOOSE(MATCH(F84,{0;20;40;60;80;100}),"0–20","20–40","40–60","60–80","80–100","100–120")</f>
        <v>40–60</v>
      </c>
      <c r="L84" t="b" s="43" cm="1">
        <f t="array" ref="L84">ISBLANK(F84)</f>
        <v>0</v>
      </c>
    </row>
    <row r="85" ht="18.5" customHeight="1">
      <c r="A85" t="s" s="44">
        <v>128</v>
      </c>
      <c r="B85" s="45">
        <v>45733</v>
      </c>
      <c r="C85" t="s" s="46">
        <v>16</v>
      </c>
      <c r="D85" t="s" s="46">
        <v>63</v>
      </c>
      <c r="E85" t="s" s="46">
        <v>36</v>
      </c>
      <c r="F85" s="47">
        <v>31</v>
      </c>
      <c r="G85" s="48">
        <v>54.61</v>
      </c>
      <c r="H85" t="s" s="49">
        <v>19</v>
      </c>
      <c r="I85" s="50" cm="1">
        <f t="array" ref="I85">IF(F85=0,"",G85/F85)</f>
        <v>1.76161290322581</v>
      </c>
      <c r="J85" t="str" s="42" cm="1">
        <f t="array" ref="J85">CHOOSE(MIN(6,INT(F85/20)+1),"0–20","20–40","40–60","60–80","80–100","100–120")</f>
        <v>20–40</v>
      </c>
      <c r="K85" t="str" s="42" cm="1">
        <f t="array" ref="K85">CHOOSE(MATCH(F85,{0;20;40;60;80;100}),"0–20","20–40","40–60","60–80","80–100","100–120")</f>
        <v>20–40</v>
      </c>
      <c r="L85" t="b" s="43" cm="1">
        <f t="array" ref="L85">ISBLANK(F85)</f>
        <v>0</v>
      </c>
    </row>
    <row r="86" ht="18.5" customHeight="1">
      <c r="A86" t="s" s="36">
        <v>129</v>
      </c>
      <c r="B86" s="37">
        <v>45736</v>
      </c>
      <c r="C86" t="s" s="38">
        <v>30</v>
      </c>
      <c r="D86" t="s" s="38">
        <v>31</v>
      </c>
      <c r="E86" t="s" s="38">
        <v>43</v>
      </c>
      <c r="F86" s="39">
        <v>26</v>
      </c>
      <c r="G86" s="40">
        <v>28.58</v>
      </c>
      <c r="H86" t="s" s="38">
        <v>19</v>
      </c>
      <c r="I86" s="41" cm="1">
        <f t="array" ref="I86">IF(F86=0,"",G86/F86)</f>
        <v>1.09923076923077</v>
      </c>
      <c r="J86" t="str" s="42" cm="1">
        <f t="array" ref="J86">CHOOSE(MIN(6,INT(F86/20)+1),"0–20","20–40","40–60","60–80","80–100","100–120")</f>
        <v>20–40</v>
      </c>
      <c r="K86" t="str" s="42" cm="1">
        <f t="array" ref="K86">CHOOSE(MATCH(F86,{0;20;40;60;80;100}),"0–20","20–40","40–60","60–80","80–100","100–120")</f>
        <v>20–40</v>
      </c>
      <c r="L86" t="b" s="43" cm="1">
        <f t="array" ref="L86">ISBLANK(F86)</f>
        <v>0</v>
      </c>
    </row>
    <row r="87" ht="18.5" customHeight="1">
      <c r="A87" t="s" s="44">
        <v>130</v>
      </c>
      <c r="B87" s="45">
        <v>45736</v>
      </c>
      <c r="C87" t="s" s="46">
        <v>16</v>
      </c>
      <c r="D87" t="s" s="46">
        <v>17</v>
      </c>
      <c r="E87" t="s" s="46">
        <v>36</v>
      </c>
      <c r="F87" s="47">
        <v>34</v>
      </c>
      <c r="G87" s="48">
        <v>54.83</v>
      </c>
      <c r="H87" t="s" s="49">
        <v>19</v>
      </c>
      <c r="I87" s="50" cm="1">
        <f t="array" ref="I87">IF(F87=0,"",G87/F87)</f>
        <v>1.61264705882353</v>
      </c>
      <c r="J87" t="str" s="42" cm="1">
        <f t="array" ref="J87">CHOOSE(MIN(6,INT(F87/20)+1),"0–20","20–40","40–60","60–80","80–100","100–120")</f>
        <v>20–40</v>
      </c>
      <c r="K87" t="str" s="42" cm="1">
        <f t="array" ref="K87">CHOOSE(MATCH(F87,{0;20;40;60;80;100}),"0–20","20–40","40–60","60–80","80–100","100–120")</f>
        <v>20–40</v>
      </c>
      <c r="L87" t="b" s="43" cm="1">
        <f t="array" ref="L87">ISBLANK(F87)</f>
        <v>0</v>
      </c>
    </row>
    <row r="88" ht="18.5" customHeight="1">
      <c r="A88" t="s" s="36">
        <v>131</v>
      </c>
      <c r="B88" s="37">
        <v>45737</v>
      </c>
      <c r="C88" t="s" s="38">
        <v>26</v>
      </c>
      <c r="D88" t="s" s="38">
        <v>27</v>
      </c>
      <c r="E88" t="s" s="38">
        <v>28</v>
      </c>
      <c r="F88" s="39">
        <v>64</v>
      </c>
      <c r="G88" s="40">
        <v>103.62</v>
      </c>
      <c r="H88" t="s" s="38">
        <v>24</v>
      </c>
      <c r="I88" s="41" cm="1">
        <f t="array" ref="I88">IF(F88=0,"",G88/F88)</f>
        <v>1.6190625</v>
      </c>
      <c r="J88" t="str" s="42" cm="1">
        <f t="array" ref="J88">CHOOSE(MIN(6,INT(F88/20)+1),"0–20","20–40","40–60","60–80","80–100","100–120")</f>
        <v>60–80</v>
      </c>
      <c r="K88" t="str" s="42" cm="1">
        <f t="array" ref="K88">CHOOSE(MATCH(F88,{0;20;40;60;80;100}),"0–20","20–40","40–60","60–80","80–100","100–120")</f>
        <v>60–80</v>
      </c>
      <c r="L88" t="b" s="43" cm="1">
        <f t="array" ref="L88">ISBLANK(F88)</f>
        <v>0</v>
      </c>
    </row>
    <row r="89" ht="18.5" customHeight="1">
      <c r="A89" t="s" s="44">
        <v>132</v>
      </c>
      <c r="B89" s="45">
        <v>45737</v>
      </c>
      <c r="C89" t="s" s="46">
        <v>21</v>
      </c>
      <c r="D89" t="s" s="46">
        <v>51</v>
      </c>
      <c r="E89" t="s" s="46">
        <v>23</v>
      </c>
      <c r="F89" s="47">
        <v>6</v>
      </c>
      <c r="G89" s="48">
        <v>6.4</v>
      </c>
      <c r="H89" t="s" s="49">
        <v>19</v>
      </c>
      <c r="I89" s="50" cm="1">
        <f t="array" ref="I89">IF(F89=0,"",G89/F89)</f>
        <v>1.06666666666667</v>
      </c>
      <c r="J89" t="str" s="42" cm="1">
        <f t="array" ref="J89">CHOOSE(MIN(6,INT(F89/20)+1),"0–20","20–40","40–60","60–80","80–100","100–120")</f>
        <v>0–20</v>
      </c>
      <c r="K89" t="str" s="42" cm="1">
        <f t="array" ref="K89">CHOOSE(MATCH(F89,{0;20;40;60;80;100}),"0–20","20–40","40–60","60–80","80–100","100–120")</f>
        <v>0–20</v>
      </c>
      <c r="L89" t="b" s="43" cm="1">
        <f t="array" ref="L89">ISBLANK(F89)</f>
        <v>0</v>
      </c>
    </row>
    <row r="90" ht="18.5" customHeight="1">
      <c r="A90" t="s" s="36">
        <v>133</v>
      </c>
      <c r="B90" s="37">
        <v>45739</v>
      </c>
      <c r="C90" t="s" s="38">
        <v>16</v>
      </c>
      <c r="D90" t="s" s="38">
        <v>17</v>
      </c>
      <c r="E90" t="s" s="38">
        <v>18</v>
      </c>
      <c r="F90" s="39">
        <v>29</v>
      </c>
      <c r="G90" s="40">
        <v>49.16</v>
      </c>
      <c r="H90" t="s" s="38">
        <v>19</v>
      </c>
      <c r="I90" s="41" cm="1">
        <f t="array" ref="I90">IF(F90=0,"",G90/F90)</f>
        <v>1.6951724137931</v>
      </c>
      <c r="J90" t="str" s="42" cm="1">
        <f t="array" ref="J90">CHOOSE(MIN(6,INT(F90/20)+1),"0–20","20–40","40–60","60–80","80–100","100–120")</f>
        <v>20–40</v>
      </c>
      <c r="K90" t="str" s="42" cm="1">
        <f t="array" ref="K90">CHOOSE(MATCH(F90,{0;20;40;60;80;100}),"0–20","20–40","40–60","60–80","80–100","100–120")</f>
        <v>20–40</v>
      </c>
      <c r="L90" t="b" s="43" cm="1">
        <f t="array" ref="L90">ISBLANK(F90)</f>
        <v>0</v>
      </c>
    </row>
    <row r="91" ht="18.5" customHeight="1">
      <c r="A91" t="s" s="44">
        <v>134</v>
      </c>
      <c r="B91" s="45">
        <v>45740</v>
      </c>
      <c r="C91" t="s" s="46">
        <v>26</v>
      </c>
      <c r="D91" t="s" s="46">
        <v>27</v>
      </c>
      <c r="E91" t="s" s="46">
        <v>28</v>
      </c>
      <c r="F91" s="47">
        <v>38</v>
      </c>
      <c r="G91" s="48">
        <v>64.27</v>
      </c>
      <c r="H91" t="s" s="49">
        <v>19</v>
      </c>
      <c r="I91" s="50" cm="1">
        <f t="array" ref="I91">IF(F91=0,"",G91/F91)</f>
        <v>1.69131578947368</v>
      </c>
      <c r="J91" t="str" s="42" cm="1">
        <f t="array" ref="J91">CHOOSE(MIN(6,INT(F91/20)+1),"0–20","20–40","40–60","60–80","80–100","100–120")</f>
        <v>20–40</v>
      </c>
      <c r="K91" t="str" s="42" cm="1">
        <f t="array" ref="K91">CHOOSE(MATCH(F91,{0;20;40;60;80;100}),"0–20","20–40","40–60","60–80","80–100","100–120")</f>
        <v>20–40</v>
      </c>
      <c r="L91" t="b" s="43" cm="1">
        <f t="array" ref="L91">ISBLANK(F91)</f>
        <v>0</v>
      </c>
    </row>
    <row r="92" ht="18.5" customHeight="1">
      <c r="A92" t="s" s="36">
        <v>135</v>
      </c>
      <c r="B92" s="37">
        <v>45741</v>
      </c>
      <c r="C92" t="s" s="38">
        <v>26</v>
      </c>
      <c r="D92" t="s" s="38">
        <v>38</v>
      </c>
      <c r="E92" t="s" s="38">
        <v>43</v>
      </c>
      <c r="F92" s="39">
        <v>46</v>
      </c>
      <c r="G92" s="40">
        <v>66.70999999999999</v>
      </c>
      <c r="H92" t="s" s="38">
        <v>19</v>
      </c>
      <c r="I92" s="41" cm="1">
        <f t="array" ref="I92">IF(F92=0,"",G92/F92)</f>
        <v>1.45021739130435</v>
      </c>
      <c r="J92" t="str" s="42" cm="1">
        <f t="array" ref="J92">CHOOSE(MIN(6,INT(F92/20)+1),"0–20","20–40","40–60","60–80","80–100","100–120")</f>
        <v>40–60</v>
      </c>
      <c r="K92" t="str" s="42" cm="1">
        <f t="array" ref="K92">CHOOSE(MATCH(F92,{0;20;40;60;80;100}),"0–20","20–40","40–60","60–80","80–100","100–120")</f>
        <v>40–60</v>
      </c>
      <c r="L92" t="b" s="43" cm="1">
        <f t="array" ref="L92">ISBLANK(F92)</f>
        <v>0</v>
      </c>
    </row>
    <row r="93" ht="18.5" customHeight="1">
      <c r="A93" t="s" s="44">
        <v>136</v>
      </c>
      <c r="B93" s="45">
        <v>45741</v>
      </c>
      <c r="C93" t="s" s="46">
        <v>21</v>
      </c>
      <c r="D93" t="s" s="46">
        <v>51</v>
      </c>
      <c r="E93" t="s" s="46">
        <v>52</v>
      </c>
      <c r="F93" s="47">
        <v>12</v>
      </c>
      <c r="G93" s="48">
        <v>11.96</v>
      </c>
      <c r="H93" t="s" s="49">
        <v>19</v>
      </c>
      <c r="I93" s="50" cm="1">
        <f t="array" ref="I93">IF(F93=0,"",G93/F93)</f>
        <v>0.996666666666667</v>
      </c>
      <c r="J93" t="str" s="42" cm="1">
        <f t="array" ref="J93">CHOOSE(MIN(6,INT(F93/20)+1),"0–20","20–40","40–60","60–80","80–100","100–120")</f>
        <v>0–20</v>
      </c>
      <c r="K93" t="str" s="42" cm="1">
        <f t="array" ref="K93">CHOOSE(MATCH(F93,{0;20;40;60;80;100}),"0–20","20–40","40–60","60–80","80–100","100–120")</f>
        <v>0–20</v>
      </c>
      <c r="L93" t="b" s="43" cm="1">
        <f t="array" ref="L93">ISBLANK(F93)</f>
        <v>0</v>
      </c>
    </row>
    <row r="94" ht="18.5" customHeight="1">
      <c r="A94" t="s" s="36">
        <v>137</v>
      </c>
      <c r="B94" s="37">
        <v>45742</v>
      </c>
      <c r="C94" t="s" s="38">
        <v>16</v>
      </c>
      <c r="D94" t="s" s="38">
        <v>63</v>
      </c>
      <c r="E94" t="s" s="38">
        <v>18</v>
      </c>
      <c r="F94" s="39">
        <v>17</v>
      </c>
      <c r="G94" s="40">
        <v>31.07</v>
      </c>
      <c r="H94" t="s" s="38">
        <v>19</v>
      </c>
      <c r="I94" s="41" cm="1">
        <f t="array" ref="I94">IF(F94=0,"",G94/F94)</f>
        <v>1.82764705882353</v>
      </c>
      <c r="J94" t="str" s="42" cm="1">
        <f t="array" ref="J94">CHOOSE(MIN(6,INT(F94/20)+1),"0–20","20–40","40–60","60–80","80–100","100–120")</f>
        <v>0–20</v>
      </c>
      <c r="K94" t="str" s="42" cm="1">
        <f t="array" ref="K94">CHOOSE(MATCH(F94,{0;20;40;60;80;100}),"0–20","20–40","40–60","60–80","80–100","100–120")</f>
        <v>0–20</v>
      </c>
      <c r="L94" t="b" s="43" cm="1">
        <f t="array" ref="L94">ISBLANK(F94)</f>
        <v>0</v>
      </c>
    </row>
    <row r="95" ht="18.5" customHeight="1">
      <c r="A95" t="s" s="44">
        <v>138</v>
      </c>
      <c r="B95" s="45">
        <v>45747</v>
      </c>
      <c r="C95" t="s" s="46">
        <v>34</v>
      </c>
      <c r="D95" t="s" s="46">
        <v>35</v>
      </c>
      <c r="E95" t="s" s="46">
        <v>36</v>
      </c>
      <c r="F95" s="47">
        <v>20</v>
      </c>
      <c r="G95" s="48">
        <v>35.59</v>
      </c>
      <c r="H95" t="s" s="49">
        <v>19</v>
      </c>
      <c r="I95" s="50" cm="1">
        <f t="array" ref="I95">IF(F95=0,"",G95/F95)</f>
        <v>1.7795</v>
      </c>
      <c r="J95" t="str" s="42" cm="1">
        <f t="array" ref="J95">CHOOSE(MIN(6,INT(F95/20)+1),"0–20","20–40","40–60","60–80","80–100","100–120")</f>
        <v>20–40</v>
      </c>
      <c r="K95" t="str" s="42" cm="1">
        <f t="array" ref="K95">CHOOSE(MATCH(F95,{0;20;40;60;80;100}),"0–20","20–40","40–60","60–80","80–100","100–120")</f>
        <v>20–40</v>
      </c>
      <c r="L95" t="b" s="43" cm="1">
        <f t="array" ref="L95">ISBLANK(F95)</f>
        <v>0</v>
      </c>
    </row>
    <row r="96" ht="18.5" customHeight="1">
      <c r="A96" t="s" s="36">
        <v>139</v>
      </c>
      <c r="B96" s="37">
        <v>45750</v>
      </c>
      <c r="C96" t="s" s="38">
        <v>26</v>
      </c>
      <c r="D96" t="s" s="38">
        <v>45</v>
      </c>
      <c r="E96" t="s" s="38">
        <v>39</v>
      </c>
      <c r="F96" s="39">
        <v>24</v>
      </c>
      <c r="G96" s="40">
        <v>35.56</v>
      </c>
      <c r="H96" t="s" s="38">
        <v>19</v>
      </c>
      <c r="I96" s="41" cm="1">
        <f t="array" ref="I96">IF(F96=0,"",G96/F96)</f>
        <v>1.48166666666667</v>
      </c>
      <c r="J96" t="str" s="42" cm="1">
        <f t="array" ref="J96">CHOOSE(MIN(6,INT(F96/20)+1),"0–20","20–40","40–60","60–80","80–100","100–120")</f>
        <v>20–40</v>
      </c>
      <c r="K96" t="str" s="42" cm="1">
        <f t="array" ref="K96">CHOOSE(MATCH(F96,{0;20;40;60;80;100}),"0–20","20–40","40–60","60–80","80–100","100–120")</f>
        <v>20–40</v>
      </c>
      <c r="L96" t="b" s="43" cm="1">
        <f t="array" ref="L96">ISBLANK(F96)</f>
        <v>0</v>
      </c>
    </row>
    <row r="97" ht="18.5" customHeight="1">
      <c r="A97" t="s" s="44">
        <v>140</v>
      </c>
      <c r="B97" s="45">
        <v>45750</v>
      </c>
      <c r="C97" t="s" s="46">
        <v>21</v>
      </c>
      <c r="D97" t="s" s="46">
        <v>22</v>
      </c>
      <c r="E97" t="s" s="46">
        <v>32</v>
      </c>
      <c r="F97" s="47">
        <v>27</v>
      </c>
      <c r="G97" s="48">
        <v>26.96</v>
      </c>
      <c r="H97" t="s" s="49">
        <v>19</v>
      </c>
      <c r="I97" s="50" cm="1">
        <f t="array" ref="I97">IF(F97=0,"",G97/F97)</f>
        <v>0.998518518518519</v>
      </c>
      <c r="J97" t="str" s="42" cm="1">
        <f t="array" ref="J97">CHOOSE(MIN(6,INT(F97/20)+1),"0–20","20–40","40–60","60–80","80–100","100–120")</f>
        <v>20–40</v>
      </c>
      <c r="K97" t="str" s="42" cm="1">
        <f t="array" ref="K97">CHOOSE(MATCH(F97,{0;20;40;60;80;100}),"0–20","20–40","40–60","60–80","80–100","100–120")</f>
        <v>20–40</v>
      </c>
      <c r="L97" t="b" s="43" cm="1">
        <f t="array" ref="L97">ISBLANK(F97)</f>
        <v>0</v>
      </c>
    </row>
    <row r="98" ht="18.5" customHeight="1">
      <c r="A98" t="s" s="36">
        <v>141</v>
      </c>
      <c r="B98" s="37">
        <v>45751</v>
      </c>
      <c r="C98" t="s" s="38">
        <v>26</v>
      </c>
      <c r="D98" t="s" s="38">
        <v>38</v>
      </c>
      <c r="E98" t="s" s="38">
        <v>28</v>
      </c>
      <c r="F98" s="39">
        <v>9</v>
      </c>
      <c r="G98" s="40">
        <v>14.01</v>
      </c>
      <c r="H98" t="s" s="38">
        <v>19</v>
      </c>
      <c r="I98" s="41" cm="1">
        <f t="array" ref="I98">IF(F98=0,"",G98/F98)</f>
        <v>1.55666666666667</v>
      </c>
      <c r="J98" t="str" s="42" cm="1">
        <f t="array" ref="J98">CHOOSE(MIN(6,INT(F98/20)+1),"0–20","20–40","40–60","60–80","80–100","100–120")</f>
        <v>0–20</v>
      </c>
      <c r="K98" t="str" s="42" cm="1">
        <f t="array" ref="K98">CHOOSE(MATCH(F98,{0;20;40;60;80;100}),"0–20","20–40","40–60","60–80","80–100","100–120")</f>
        <v>0–20</v>
      </c>
      <c r="L98" t="b" s="43" cm="1">
        <f t="array" ref="L98">ISBLANK(F98)</f>
        <v>0</v>
      </c>
    </row>
    <row r="99" ht="18.5" customHeight="1">
      <c r="A99" t="s" s="44">
        <v>142</v>
      </c>
      <c r="B99" s="45">
        <v>45761</v>
      </c>
      <c r="C99" t="s" s="46">
        <v>34</v>
      </c>
      <c r="D99" t="s" s="46">
        <v>35</v>
      </c>
      <c r="E99" t="s" s="46">
        <v>48</v>
      </c>
      <c r="F99" s="47">
        <v>39</v>
      </c>
      <c r="G99" s="48">
        <v>70.17</v>
      </c>
      <c r="H99" t="s" s="49">
        <v>19</v>
      </c>
      <c r="I99" s="50" cm="1">
        <f t="array" ref="I99">IF(F99=0,"",G99/F99)</f>
        <v>1.79923076923077</v>
      </c>
      <c r="J99" t="str" s="42" cm="1">
        <f t="array" ref="J99">CHOOSE(MIN(6,INT(F99/20)+1),"0–20","20–40","40–60","60–80","80–100","100–120")</f>
        <v>20–40</v>
      </c>
      <c r="K99" t="str" s="42" cm="1">
        <f t="array" ref="K99">CHOOSE(MATCH(F99,{0;20;40;60;80;100}),"0–20","20–40","40–60","60–80","80–100","100–120")</f>
        <v>20–40</v>
      </c>
      <c r="L99" t="b" s="43" cm="1">
        <f t="array" ref="L99">ISBLANK(F99)</f>
        <v>0</v>
      </c>
    </row>
    <row r="100" ht="18.5" customHeight="1">
      <c r="A100" t="s" s="36">
        <v>143</v>
      </c>
      <c r="B100" s="37">
        <v>45762</v>
      </c>
      <c r="C100" t="s" s="38">
        <v>16</v>
      </c>
      <c r="D100" t="s" s="38">
        <v>17</v>
      </c>
      <c r="E100" t="s" s="38">
        <v>65</v>
      </c>
      <c r="F100" s="39">
        <v>5</v>
      </c>
      <c r="G100" s="40">
        <v>8.890000000000001</v>
      </c>
      <c r="H100" t="s" s="38">
        <v>19</v>
      </c>
      <c r="I100" s="41" cm="1">
        <f t="array" ref="I100">IF(F100=0,"",G100/F100)</f>
        <v>1.778</v>
      </c>
      <c r="J100" t="str" s="42" cm="1">
        <f t="array" ref="J100">CHOOSE(MIN(6,INT(F100/20)+1),"0–20","20–40","40–60","60–80","80–100","100–120")</f>
        <v>0–20</v>
      </c>
      <c r="K100" t="str" s="42" cm="1">
        <f t="array" ref="K100">CHOOSE(MATCH(F100,{0;20;40;60;80;100}),"0–20","20–40","40–60","60–80","80–100","100–120")</f>
        <v>0–20</v>
      </c>
      <c r="L100" t="b" s="43" cm="1">
        <f t="array" ref="L100">ISBLANK(F100)</f>
        <v>0</v>
      </c>
    </row>
    <row r="101" ht="18.5" customHeight="1">
      <c r="A101" t="s" s="44">
        <v>144</v>
      </c>
      <c r="B101" s="45">
        <v>45763</v>
      </c>
      <c r="C101" t="s" s="46">
        <v>16</v>
      </c>
      <c r="D101" t="s" s="46">
        <v>17</v>
      </c>
      <c r="E101" t="s" s="46">
        <v>36</v>
      </c>
      <c r="F101" s="47">
        <v>40</v>
      </c>
      <c r="G101" s="48">
        <v>58.49</v>
      </c>
      <c r="H101" t="s" s="49">
        <v>19</v>
      </c>
      <c r="I101" s="50" cm="1">
        <f t="array" ref="I101">IF(F101=0,"",G101/F101)</f>
        <v>1.46225</v>
      </c>
      <c r="J101" t="str" s="42" cm="1">
        <f t="array" ref="J101">CHOOSE(MIN(6,INT(F101/20)+1),"0–20","20–40","40–60","60–80","80–100","100–120")</f>
        <v>40–60</v>
      </c>
      <c r="K101" t="str" s="42" cm="1">
        <f t="array" ref="K101">CHOOSE(MATCH(F101,{0;20;40;60;80;100}),"0–20","20–40","40–60","60–80","80–100","100–120")</f>
        <v>40–60</v>
      </c>
      <c r="L101" t="b" s="43" cm="1">
        <f t="array" ref="L101">ISBLANK(F101)</f>
        <v>0</v>
      </c>
    </row>
    <row r="102" ht="18.5" customHeight="1">
      <c r="A102" t="s" s="36">
        <v>145</v>
      </c>
      <c r="B102" s="37">
        <v>45764</v>
      </c>
      <c r="C102" t="s" s="38">
        <v>30</v>
      </c>
      <c r="D102" t="s" s="38">
        <v>31</v>
      </c>
      <c r="E102" t="s" s="38">
        <v>43</v>
      </c>
      <c r="F102" s="39">
        <v>16</v>
      </c>
      <c r="G102" s="40">
        <v>17.67</v>
      </c>
      <c r="H102" t="s" s="38">
        <v>19</v>
      </c>
      <c r="I102" s="41" cm="1">
        <f t="array" ref="I102">IF(F102=0,"",G102/F102)</f>
        <v>1.104375</v>
      </c>
      <c r="J102" t="str" s="42" cm="1">
        <f t="array" ref="J102">CHOOSE(MIN(6,INT(F102/20)+1),"0–20","20–40","40–60","60–80","80–100","100–120")</f>
        <v>0–20</v>
      </c>
      <c r="K102" t="str" s="42" cm="1">
        <f t="array" ref="K102">CHOOSE(MATCH(F102,{0;20;40;60;80;100}),"0–20","20–40","40–60","60–80","80–100","100–120")</f>
        <v>0–20</v>
      </c>
      <c r="L102" t="b" s="43" cm="1">
        <f t="array" ref="L102">ISBLANK(F102)</f>
        <v>0</v>
      </c>
    </row>
    <row r="103" ht="18.5" customHeight="1">
      <c r="A103" t="s" s="44">
        <v>146</v>
      </c>
      <c r="B103" s="45">
        <v>45766</v>
      </c>
      <c r="C103" t="s" s="46">
        <v>30</v>
      </c>
      <c r="D103" t="s" s="46">
        <v>42</v>
      </c>
      <c r="E103" t="s" s="46">
        <v>32</v>
      </c>
      <c r="F103" s="47">
        <v>27</v>
      </c>
      <c r="G103" s="48">
        <v>30.18</v>
      </c>
      <c r="H103" t="s" s="49">
        <v>19</v>
      </c>
      <c r="I103" s="50" cm="1">
        <f t="array" ref="I103">IF(F103=0,"",G103/F103)</f>
        <v>1.11777777777778</v>
      </c>
      <c r="J103" t="str" s="42" cm="1">
        <f t="array" ref="J103">CHOOSE(MIN(6,INT(F103/20)+1),"0–20","20–40","40–60","60–80","80–100","100–120")</f>
        <v>20–40</v>
      </c>
      <c r="K103" t="str" s="42" cm="1">
        <f t="array" ref="K103">CHOOSE(MATCH(F103,{0;20;40;60;80;100}),"0–20","20–40","40–60","60–80","80–100","100–120")</f>
        <v>20–40</v>
      </c>
      <c r="L103" t="b" s="43" cm="1">
        <f t="array" ref="L103">ISBLANK(F103)</f>
        <v>0</v>
      </c>
    </row>
    <row r="104" ht="18.5" customHeight="1">
      <c r="A104" t="s" s="36">
        <v>147</v>
      </c>
      <c r="B104" s="37">
        <v>45768</v>
      </c>
      <c r="C104" t="s" s="38">
        <v>16</v>
      </c>
      <c r="D104" t="s" s="38">
        <v>63</v>
      </c>
      <c r="E104" t="s" s="38">
        <v>18</v>
      </c>
      <c r="F104" s="39">
        <v>21</v>
      </c>
      <c r="G104" s="40">
        <v>35.94</v>
      </c>
      <c r="H104" t="s" s="38">
        <v>19</v>
      </c>
      <c r="I104" s="41" cm="1">
        <f t="array" ref="I104">IF(F104=0,"",G104/F104)</f>
        <v>1.71142857142857</v>
      </c>
      <c r="J104" t="str" s="42" cm="1">
        <f t="array" ref="J104">CHOOSE(MIN(6,INT(F104/20)+1),"0–20","20–40","40–60","60–80","80–100","100–120")</f>
        <v>20–40</v>
      </c>
      <c r="K104" t="str" s="42" cm="1">
        <f t="array" ref="K104">CHOOSE(MATCH(F104,{0;20;40;60;80;100}),"0–20","20–40","40–60","60–80","80–100","100–120")</f>
        <v>20–40</v>
      </c>
      <c r="L104" t="b" s="43" cm="1">
        <f t="array" ref="L104">ISBLANK(F104)</f>
        <v>0</v>
      </c>
    </row>
    <row r="105" ht="18.5" customHeight="1">
      <c r="A105" t="s" s="44">
        <v>148</v>
      </c>
      <c r="B105" s="45">
        <v>45768</v>
      </c>
      <c r="C105" t="s" s="46">
        <v>21</v>
      </c>
      <c r="D105" t="s" s="46">
        <v>22</v>
      </c>
      <c r="E105" t="s" s="46">
        <v>32</v>
      </c>
      <c r="F105" s="47">
        <v>8</v>
      </c>
      <c r="G105" s="48">
        <v>9.630000000000001</v>
      </c>
      <c r="H105" t="s" s="49">
        <v>19</v>
      </c>
      <c r="I105" s="50" cm="1">
        <f t="array" ref="I105">IF(F105=0,"",G105/F105)</f>
        <v>1.20375</v>
      </c>
      <c r="J105" t="str" s="42" cm="1">
        <f t="array" ref="J105">CHOOSE(MIN(6,INT(F105/20)+1),"0–20","20–40","40–60","60–80","80–100","100–120")</f>
        <v>0–20</v>
      </c>
      <c r="K105" t="str" s="42" cm="1">
        <f t="array" ref="K105">CHOOSE(MATCH(F105,{0;20;40;60;80;100}),"0–20","20–40","40–60","60–80","80–100","100–120")</f>
        <v>0–20</v>
      </c>
      <c r="L105" t="b" s="43" cm="1">
        <f t="array" ref="L105">ISBLANK(F105)</f>
        <v>0</v>
      </c>
    </row>
    <row r="106" ht="18.5" customHeight="1">
      <c r="A106" t="s" s="36">
        <v>149</v>
      </c>
      <c r="B106" s="37">
        <v>45769</v>
      </c>
      <c r="C106" t="s" s="38">
        <v>26</v>
      </c>
      <c r="D106" t="s" s="38">
        <v>27</v>
      </c>
      <c r="E106" t="s" s="38">
        <v>28</v>
      </c>
      <c r="F106" s="39">
        <v>14</v>
      </c>
      <c r="G106" s="40">
        <v>22.58</v>
      </c>
      <c r="H106" t="s" s="38">
        <v>19</v>
      </c>
      <c r="I106" s="41" cm="1">
        <f t="array" ref="I106">IF(F106=0,"",G106/F106)</f>
        <v>1.61285714285714</v>
      </c>
      <c r="J106" t="str" s="42" cm="1">
        <f t="array" ref="J106">CHOOSE(MIN(6,INT(F106/20)+1),"0–20","20–40","40–60","60–80","80–100","100–120")</f>
        <v>0–20</v>
      </c>
      <c r="K106" t="str" s="42" cm="1">
        <f t="array" ref="K106">CHOOSE(MATCH(F106,{0;20;40;60;80;100}),"0–20","20–40","40–60","60–80","80–100","100–120")</f>
        <v>0–20</v>
      </c>
      <c r="L106" t="b" s="43" cm="1">
        <f t="array" ref="L106">ISBLANK(F106)</f>
        <v>0</v>
      </c>
    </row>
    <row r="107" ht="18.5" customHeight="1">
      <c r="A107" t="s" s="44">
        <v>150</v>
      </c>
      <c r="B107" s="45">
        <v>45769</v>
      </c>
      <c r="C107" t="s" s="46">
        <v>16</v>
      </c>
      <c r="D107" t="s" s="46">
        <v>63</v>
      </c>
      <c r="E107" t="s" s="46">
        <v>65</v>
      </c>
      <c r="F107" s="47">
        <v>19</v>
      </c>
      <c r="G107" s="48">
        <v>30.76</v>
      </c>
      <c r="H107" t="s" s="49">
        <v>19</v>
      </c>
      <c r="I107" s="50" cm="1">
        <f t="array" ref="I107">IF(F107=0,"",G107/F107)</f>
        <v>1.61894736842105</v>
      </c>
      <c r="J107" t="str" s="42" cm="1">
        <f t="array" ref="J107">CHOOSE(MIN(6,INT(F107/20)+1),"0–20","20–40","40–60","60–80","80–100","100–120")</f>
        <v>0–20</v>
      </c>
      <c r="K107" t="str" s="42" cm="1">
        <f t="array" ref="K107">CHOOSE(MATCH(F107,{0;20;40;60;80;100}),"0–20","20–40","40–60","60–80","80–100","100–120")</f>
        <v>0–20</v>
      </c>
      <c r="L107" t="b" s="43" cm="1">
        <f t="array" ref="L107">ISBLANK(F107)</f>
        <v>0</v>
      </c>
    </row>
    <row r="108" ht="18.5" customHeight="1">
      <c r="A108" t="s" s="36">
        <v>151</v>
      </c>
      <c r="B108" s="37">
        <v>45770</v>
      </c>
      <c r="C108" t="s" s="38">
        <v>21</v>
      </c>
      <c r="D108" t="s" s="38">
        <v>51</v>
      </c>
      <c r="E108" t="s" s="38">
        <v>52</v>
      </c>
      <c r="F108" s="39">
        <v>7</v>
      </c>
      <c r="G108" s="40">
        <v>8.59</v>
      </c>
      <c r="H108" t="s" s="38">
        <v>19</v>
      </c>
      <c r="I108" s="41" cm="1">
        <f t="array" ref="I108">IF(F108=0,"",G108/F108)</f>
        <v>1.22714285714286</v>
      </c>
      <c r="J108" t="str" s="42" cm="1">
        <f t="array" ref="J108">CHOOSE(MIN(6,INT(F108/20)+1),"0–20","20–40","40–60","60–80","80–100","100–120")</f>
        <v>0–20</v>
      </c>
      <c r="K108" t="str" s="42" cm="1">
        <f t="array" ref="K108">CHOOSE(MATCH(F108,{0;20;40;60;80;100}),"0–20","20–40","40–60","60–80","80–100","100–120")</f>
        <v>0–20</v>
      </c>
      <c r="L108" t="b" s="43" cm="1">
        <f t="array" ref="L108">ISBLANK(F108)</f>
        <v>0</v>
      </c>
    </row>
    <row r="109" ht="18.5" customHeight="1">
      <c r="A109" t="s" s="44">
        <v>152</v>
      </c>
      <c r="B109" s="45">
        <v>45771</v>
      </c>
      <c r="C109" t="s" s="46">
        <v>26</v>
      </c>
      <c r="D109" t="s" s="46">
        <v>38</v>
      </c>
      <c r="E109" t="s" s="46">
        <v>28</v>
      </c>
      <c r="F109" s="47">
        <v>28</v>
      </c>
      <c r="G109" s="48">
        <v>43.15</v>
      </c>
      <c r="H109" t="s" s="49">
        <v>19</v>
      </c>
      <c r="I109" s="50" cm="1">
        <f t="array" ref="I109">IF(F109=0,"",G109/F109)</f>
        <v>1.54107142857143</v>
      </c>
      <c r="J109" t="str" s="42" cm="1">
        <f t="array" ref="J109">CHOOSE(MIN(6,INT(F109/20)+1),"0–20","20–40","40–60","60–80","80–100","100–120")</f>
        <v>20–40</v>
      </c>
      <c r="K109" t="str" s="42" cm="1">
        <f t="array" ref="K109">CHOOSE(MATCH(F109,{0;20;40;60;80;100}),"0–20","20–40","40–60","60–80","80–100","100–120")</f>
        <v>20–40</v>
      </c>
      <c r="L109" t="b" s="43" cm="1">
        <f t="array" ref="L109">ISBLANK(F109)</f>
        <v>0</v>
      </c>
    </row>
    <row r="110" ht="18.5" customHeight="1">
      <c r="A110" t="s" s="36">
        <v>153</v>
      </c>
      <c r="B110" s="37">
        <v>45773</v>
      </c>
      <c r="C110" t="s" s="38">
        <v>26</v>
      </c>
      <c r="D110" t="s" s="38">
        <v>27</v>
      </c>
      <c r="E110" t="s" s="38">
        <v>28</v>
      </c>
      <c r="F110" s="39">
        <v>46</v>
      </c>
      <c r="G110" s="40">
        <v>71.8</v>
      </c>
      <c r="H110" t="s" s="38">
        <v>19</v>
      </c>
      <c r="I110" s="41" cm="1">
        <f t="array" ref="I110">IF(F110=0,"",G110/F110)</f>
        <v>1.56086956521739</v>
      </c>
      <c r="J110" t="str" s="42" cm="1">
        <f t="array" ref="J110">CHOOSE(MIN(6,INT(F110/20)+1),"0–20","20–40","40–60","60–80","80–100","100–120")</f>
        <v>40–60</v>
      </c>
      <c r="K110" t="str" s="42" cm="1">
        <f t="array" ref="K110">CHOOSE(MATCH(F110,{0;20;40;60;80;100}),"0–20","20–40","40–60","60–80","80–100","100–120")</f>
        <v>40–60</v>
      </c>
      <c r="L110" t="b" s="43" cm="1">
        <f t="array" ref="L110">ISBLANK(F110)</f>
        <v>0</v>
      </c>
    </row>
    <row r="111" ht="18.5" customHeight="1">
      <c r="A111" t="s" s="44">
        <v>154</v>
      </c>
      <c r="B111" s="45">
        <v>45774</v>
      </c>
      <c r="C111" t="s" s="46">
        <v>26</v>
      </c>
      <c r="D111" t="s" s="46">
        <v>27</v>
      </c>
      <c r="E111" t="s" s="46">
        <v>28</v>
      </c>
      <c r="F111" s="47">
        <v>26</v>
      </c>
      <c r="G111" s="48">
        <v>35.78</v>
      </c>
      <c r="H111" t="s" s="49">
        <v>19</v>
      </c>
      <c r="I111" s="50" cm="1">
        <f t="array" ref="I111">IF(F111=0,"",G111/F111)</f>
        <v>1.37615384615385</v>
      </c>
      <c r="J111" t="str" s="42" cm="1">
        <f t="array" ref="J111">CHOOSE(MIN(6,INT(F111/20)+1),"0–20","20–40","40–60","60–80","80–100","100–120")</f>
        <v>20–40</v>
      </c>
      <c r="K111" t="str" s="42" cm="1">
        <f t="array" ref="K111">CHOOSE(MATCH(F111,{0;20;40;60;80;100}),"0–20","20–40","40–60","60–80","80–100","100–120")</f>
        <v>20–40</v>
      </c>
      <c r="L111" t="b" s="43" cm="1">
        <f t="array" ref="L111">ISBLANK(F111)</f>
        <v>0</v>
      </c>
    </row>
    <row r="112" ht="18.5" customHeight="1">
      <c r="A112" t="s" s="36">
        <v>155</v>
      </c>
      <c r="B112" s="37">
        <v>45774</v>
      </c>
      <c r="C112" t="s" s="38">
        <v>16</v>
      </c>
      <c r="D112" t="s" s="38">
        <v>17</v>
      </c>
      <c r="E112" t="s" s="38">
        <v>36</v>
      </c>
      <c r="F112" s="39">
        <v>37</v>
      </c>
      <c r="G112" s="40">
        <v>64.53</v>
      </c>
      <c r="H112" t="s" s="38">
        <v>19</v>
      </c>
      <c r="I112" s="41" cm="1">
        <f t="array" ref="I112">IF(F112=0,"",G112/F112)</f>
        <v>1.74405405405405</v>
      </c>
      <c r="J112" t="str" s="42" cm="1">
        <f t="array" ref="J112">CHOOSE(MIN(6,INT(F112/20)+1),"0–20","20–40","40–60","60–80","80–100","100–120")</f>
        <v>20–40</v>
      </c>
      <c r="K112" t="str" s="42" cm="1">
        <f t="array" ref="K112">CHOOSE(MATCH(F112,{0;20;40;60;80;100}),"0–20","20–40","40–60","60–80","80–100","100–120")</f>
        <v>20–40</v>
      </c>
      <c r="L112" t="b" s="43" cm="1">
        <f t="array" ref="L112">ISBLANK(F112)</f>
        <v>0</v>
      </c>
    </row>
    <row r="113" ht="18.5" customHeight="1">
      <c r="A113" t="s" s="44">
        <v>156</v>
      </c>
      <c r="B113" s="45">
        <v>45775</v>
      </c>
      <c r="C113" t="s" s="46">
        <v>26</v>
      </c>
      <c r="D113" t="s" s="46">
        <v>45</v>
      </c>
      <c r="E113" t="s" s="46">
        <v>28</v>
      </c>
      <c r="F113" s="47">
        <v>30</v>
      </c>
      <c r="G113" s="48">
        <v>48.66</v>
      </c>
      <c r="H113" t="s" s="49">
        <v>19</v>
      </c>
      <c r="I113" s="50" cm="1">
        <f t="array" ref="I113">IF(F113=0,"",G113/F113)</f>
        <v>1.622</v>
      </c>
      <c r="J113" t="str" s="42" cm="1">
        <f t="array" ref="J113">CHOOSE(MIN(6,INT(F113/20)+1),"0–20","20–40","40–60","60–80","80–100","100–120")</f>
        <v>20–40</v>
      </c>
      <c r="K113" t="str" s="42" cm="1">
        <f t="array" ref="K113">CHOOSE(MATCH(F113,{0;20;40;60;80;100}),"0–20","20–40","40–60","60–80","80–100","100–120")</f>
        <v>20–40</v>
      </c>
      <c r="L113" t="b" s="43" cm="1">
        <f t="array" ref="L113">ISBLANK(F113)</f>
        <v>0</v>
      </c>
    </row>
    <row r="114" ht="18.5" customHeight="1">
      <c r="A114" t="s" s="36">
        <v>157</v>
      </c>
      <c r="B114" s="37">
        <v>45775</v>
      </c>
      <c r="C114" t="s" s="38">
        <v>26</v>
      </c>
      <c r="D114" t="s" s="38">
        <v>38</v>
      </c>
      <c r="E114" t="s" s="38">
        <v>39</v>
      </c>
      <c r="F114" s="39">
        <v>5</v>
      </c>
      <c r="G114" s="40">
        <v>7.38</v>
      </c>
      <c r="H114" t="s" s="38">
        <v>19</v>
      </c>
      <c r="I114" s="41" cm="1">
        <f t="array" ref="I114">IF(F114=0,"",G114/F114)</f>
        <v>1.476</v>
      </c>
      <c r="J114" t="str" s="42" cm="1">
        <f t="array" ref="J114">CHOOSE(MIN(6,INT(F114/20)+1),"0–20","20–40","40–60","60–80","80–100","100–120")</f>
        <v>0–20</v>
      </c>
      <c r="K114" t="str" s="42" cm="1">
        <f t="array" ref="K114">CHOOSE(MATCH(F114,{0;20;40;60;80;100}),"0–20","20–40","40–60","60–80","80–100","100–120")</f>
        <v>0–20</v>
      </c>
      <c r="L114" t="b" s="43" cm="1">
        <f t="array" ref="L114">ISBLANK(F114)</f>
        <v>0</v>
      </c>
    </row>
    <row r="115" ht="18.5" customHeight="1">
      <c r="A115" t="s" s="44">
        <v>158</v>
      </c>
      <c r="B115" s="45">
        <v>45775</v>
      </c>
      <c r="C115" t="s" s="46">
        <v>26</v>
      </c>
      <c r="D115" t="s" s="46">
        <v>27</v>
      </c>
      <c r="E115" t="s" s="46">
        <v>43</v>
      </c>
      <c r="F115" s="47">
        <v>31</v>
      </c>
      <c r="G115" s="48">
        <v>42.71</v>
      </c>
      <c r="H115" t="s" s="49">
        <v>19</v>
      </c>
      <c r="I115" s="50" cm="1">
        <f t="array" ref="I115">IF(F115=0,"",G115/F115)</f>
        <v>1.37774193548387</v>
      </c>
      <c r="J115" t="str" s="42" cm="1">
        <f t="array" ref="J115">CHOOSE(MIN(6,INT(F115/20)+1),"0–20","20–40","40–60","60–80","80–100","100–120")</f>
        <v>20–40</v>
      </c>
      <c r="K115" t="str" s="42" cm="1">
        <f t="array" ref="K115">CHOOSE(MATCH(F115,{0;20;40;60;80;100}),"0–20","20–40","40–60","60–80","80–100","100–120")</f>
        <v>20–40</v>
      </c>
      <c r="L115" t="b" s="43" cm="1">
        <f t="array" ref="L115">ISBLANK(F115)</f>
        <v>0</v>
      </c>
    </row>
    <row r="116" ht="18.5" customHeight="1">
      <c r="A116" t="s" s="36">
        <v>159</v>
      </c>
      <c r="B116" s="37">
        <v>45777</v>
      </c>
      <c r="C116" t="s" s="38">
        <v>21</v>
      </c>
      <c r="D116" t="s" s="38">
        <v>51</v>
      </c>
      <c r="E116" t="s" s="38">
        <v>23</v>
      </c>
      <c r="F116" s="39">
        <v>24</v>
      </c>
      <c r="G116" s="40">
        <v>24.74</v>
      </c>
      <c r="H116" t="s" s="38">
        <v>19</v>
      </c>
      <c r="I116" s="41" cm="1">
        <f t="array" ref="I116">IF(F116=0,"",G116/F116)</f>
        <v>1.03083333333333</v>
      </c>
      <c r="J116" t="str" s="42" cm="1">
        <f t="array" ref="J116">CHOOSE(MIN(6,INT(F116/20)+1),"0–20","20–40","40–60","60–80","80–100","100–120")</f>
        <v>20–40</v>
      </c>
      <c r="K116" t="str" s="42" cm="1">
        <f t="array" ref="K116">CHOOSE(MATCH(F116,{0;20;40;60;80;100}),"0–20","20–40","40–60","60–80","80–100","100–120")</f>
        <v>20–40</v>
      </c>
      <c r="L116" t="b" s="43" cm="1">
        <f t="array" ref="L116">ISBLANK(F116)</f>
        <v>0</v>
      </c>
    </row>
    <row r="117" ht="18.5" customHeight="1">
      <c r="A117" t="s" s="44">
        <v>160</v>
      </c>
      <c r="B117" s="45">
        <v>45777</v>
      </c>
      <c r="C117" t="s" s="46">
        <v>26</v>
      </c>
      <c r="D117" t="s" s="46">
        <v>38</v>
      </c>
      <c r="E117" t="s" s="46">
        <v>43</v>
      </c>
      <c r="F117" s="47">
        <v>63</v>
      </c>
      <c r="G117" s="48">
        <v>88.47</v>
      </c>
      <c r="H117" t="s" s="49">
        <v>24</v>
      </c>
      <c r="I117" s="50" cm="1">
        <f t="array" ref="I117">IF(F117=0,"",G117/F117)</f>
        <v>1.40428571428571</v>
      </c>
      <c r="J117" t="str" s="42" cm="1">
        <f t="array" ref="J117">CHOOSE(MIN(6,INT(F117/20)+1),"0–20","20–40","40–60","60–80","80–100","100–120")</f>
        <v>60–80</v>
      </c>
      <c r="K117" t="str" s="42" cm="1">
        <f t="array" ref="K117">CHOOSE(MATCH(F117,{0;20;40;60;80;100}),"0–20","20–40","40–60","60–80","80–100","100–120")</f>
        <v>60–80</v>
      </c>
      <c r="L117" t="b" s="43" cm="1">
        <f t="array" ref="L117">ISBLANK(F117)</f>
        <v>0</v>
      </c>
    </row>
    <row r="118" ht="18.5" customHeight="1">
      <c r="A118" t="s" s="36">
        <v>161</v>
      </c>
      <c r="B118" s="37">
        <v>45778</v>
      </c>
      <c r="C118" t="s" s="38">
        <v>16</v>
      </c>
      <c r="D118" t="s" s="38">
        <v>63</v>
      </c>
      <c r="E118" t="s" s="38">
        <v>36</v>
      </c>
      <c r="F118" s="39">
        <v>26</v>
      </c>
      <c r="G118" s="40">
        <v>38.97</v>
      </c>
      <c r="H118" t="s" s="38">
        <v>19</v>
      </c>
      <c r="I118" s="41" cm="1">
        <f t="array" ref="I118">IF(F118=0,"",G118/F118)</f>
        <v>1.49884615384615</v>
      </c>
      <c r="J118" t="str" s="42" cm="1">
        <f t="array" ref="J118">CHOOSE(MIN(6,INT(F118/20)+1),"0–20","20–40","40–60","60–80","80–100","100–120")</f>
        <v>20–40</v>
      </c>
      <c r="K118" t="str" s="42" cm="1">
        <f t="array" ref="K118">CHOOSE(MATCH(F118,{0;20;40;60;80;100}),"0–20","20–40","40–60","60–80","80–100","100–120")</f>
        <v>20–40</v>
      </c>
      <c r="L118" t="b" s="43" cm="1">
        <f t="array" ref="L118">ISBLANK(F118)</f>
        <v>0</v>
      </c>
    </row>
    <row r="119" ht="18.5" customHeight="1">
      <c r="A119" t="s" s="44">
        <v>162</v>
      </c>
      <c r="B119" s="45">
        <v>45778</v>
      </c>
      <c r="C119" t="s" s="46">
        <v>30</v>
      </c>
      <c r="D119" t="s" s="46">
        <v>31</v>
      </c>
      <c r="E119" t="s" s="46">
        <v>70</v>
      </c>
      <c r="F119" s="47">
        <v>20</v>
      </c>
      <c r="G119" s="48">
        <v>21.67</v>
      </c>
      <c r="H119" t="s" s="49">
        <v>19</v>
      </c>
      <c r="I119" s="50" cm="1">
        <f t="array" ref="I119">IF(F119=0,"",G119/F119)</f>
        <v>1.0835</v>
      </c>
      <c r="J119" t="str" s="42" cm="1">
        <f t="array" ref="J119">CHOOSE(MIN(6,INT(F119/20)+1),"0–20","20–40","40–60","60–80","80–100","100–120")</f>
        <v>20–40</v>
      </c>
      <c r="K119" t="str" s="42" cm="1">
        <f t="array" ref="K119">CHOOSE(MATCH(F119,{0;20;40;60;80;100}),"0–20","20–40","40–60","60–80","80–100","100–120")</f>
        <v>20–40</v>
      </c>
      <c r="L119" t="b" s="43" cm="1">
        <f t="array" ref="L119">ISBLANK(F119)</f>
        <v>0</v>
      </c>
    </row>
    <row r="120" ht="18.5" customHeight="1">
      <c r="A120" t="s" s="36">
        <v>163</v>
      </c>
      <c r="B120" s="37">
        <v>45779</v>
      </c>
      <c r="C120" t="s" s="38">
        <v>34</v>
      </c>
      <c r="D120" t="s" s="38">
        <v>47</v>
      </c>
      <c r="E120" t="s" s="38">
        <v>59</v>
      </c>
      <c r="F120" s="39">
        <v>49</v>
      </c>
      <c r="G120" s="40">
        <v>80.67</v>
      </c>
      <c r="H120" t="s" s="38">
        <v>19</v>
      </c>
      <c r="I120" s="41" cm="1">
        <f t="array" ref="I120">IF(F120=0,"",G120/F120)</f>
        <v>1.64632653061224</v>
      </c>
      <c r="J120" t="str" s="42" cm="1">
        <f t="array" ref="J120">CHOOSE(MIN(6,INT(F120/20)+1),"0–20","20–40","40–60","60–80","80–100","100–120")</f>
        <v>40–60</v>
      </c>
      <c r="K120" t="str" s="42" cm="1">
        <f t="array" ref="K120">CHOOSE(MATCH(F120,{0;20;40;60;80;100}),"0–20","20–40","40–60","60–80","80–100","100–120")</f>
        <v>40–60</v>
      </c>
      <c r="L120" t="b" s="43" cm="1">
        <f t="array" ref="L120">ISBLANK(F120)</f>
        <v>0</v>
      </c>
    </row>
    <row r="121" ht="18.5" customHeight="1">
      <c r="A121" t="s" s="44">
        <v>164</v>
      </c>
      <c r="B121" s="45">
        <v>45779</v>
      </c>
      <c r="C121" t="s" s="46">
        <v>21</v>
      </c>
      <c r="D121" t="s" s="46">
        <v>51</v>
      </c>
      <c r="E121" t="s" s="46">
        <v>23</v>
      </c>
      <c r="F121" s="47">
        <v>18</v>
      </c>
      <c r="G121" s="48">
        <v>17.94</v>
      </c>
      <c r="H121" t="s" s="49">
        <v>19</v>
      </c>
      <c r="I121" s="50" cm="1">
        <f t="array" ref="I121">IF(F121=0,"",G121/F121)</f>
        <v>0.996666666666667</v>
      </c>
      <c r="J121" t="str" s="42" cm="1">
        <f t="array" ref="J121">CHOOSE(MIN(6,INT(F121/20)+1),"0–20","20–40","40–60","60–80","80–100","100–120")</f>
        <v>0–20</v>
      </c>
      <c r="K121" t="str" s="42" cm="1">
        <f t="array" ref="K121">CHOOSE(MATCH(F121,{0;20;40;60;80;100}),"0–20","20–40","40–60","60–80","80–100","100–120")</f>
        <v>0–20</v>
      </c>
      <c r="L121" t="b" s="43" cm="1">
        <f t="array" ref="L121">ISBLANK(F121)</f>
        <v>0</v>
      </c>
    </row>
    <row r="122" ht="18.5" customHeight="1">
      <c r="A122" t="s" s="36">
        <v>165</v>
      </c>
      <c r="B122" s="37">
        <v>45779</v>
      </c>
      <c r="C122" t="s" s="38">
        <v>26</v>
      </c>
      <c r="D122" t="s" s="38">
        <v>38</v>
      </c>
      <c r="E122" t="s" s="38">
        <v>28</v>
      </c>
      <c r="F122" s="39">
        <v>13</v>
      </c>
      <c r="G122" s="40">
        <v>19.78</v>
      </c>
      <c r="H122" t="s" s="38">
        <v>19</v>
      </c>
      <c r="I122" s="41" cm="1">
        <f t="array" ref="I122">IF(F122=0,"",G122/F122)</f>
        <v>1.52153846153846</v>
      </c>
      <c r="J122" t="str" s="42" cm="1">
        <f t="array" ref="J122">CHOOSE(MIN(6,INT(F122/20)+1),"0–20","20–40","40–60","60–80","80–100","100–120")</f>
        <v>0–20</v>
      </c>
      <c r="K122" t="str" s="42" cm="1">
        <f t="array" ref="K122">CHOOSE(MATCH(F122,{0;20;40;60;80;100}),"0–20","20–40","40–60","60–80","80–100","100–120")</f>
        <v>0–20</v>
      </c>
      <c r="L122" t="b" s="43" cm="1">
        <f t="array" ref="L122">ISBLANK(F122)</f>
        <v>0</v>
      </c>
    </row>
    <row r="123" ht="18.5" customHeight="1">
      <c r="A123" t="s" s="44">
        <v>166</v>
      </c>
      <c r="B123" s="45">
        <v>45779</v>
      </c>
      <c r="C123" t="s" s="46">
        <v>26</v>
      </c>
      <c r="D123" t="s" s="46">
        <v>38</v>
      </c>
      <c r="E123" t="s" s="46">
        <v>43</v>
      </c>
      <c r="F123" s="47">
        <v>21</v>
      </c>
      <c r="G123" s="48">
        <v>30.52</v>
      </c>
      <c r="H123" t="s" s="49">
        <v>19</v>
      </c>
      <c r="I123" s="50" cm="1">
        <f t="array" ref="I123">IF(F123=0,"",G123/F123)</f>
        <v>1.45333333333333</v>
      </c>
      <c r="J123" t="str" s="42" cm="1">
        <f t="array" ref="J123">CHOOSE(MIN(6,INT(F123/20)+1),"0–20","20–40","40–60","60–80","80–100","100–120")</f>
        <v>20–40</v>
      </c>
      <c r="K123" t="str" s="42" cm="1">
        <f t="array" ref="K123">CHOOSE(MATCH(F123,{0;20;40;60;80;100}),"0–20","20–40","40–60","60–80","80–100","100–120")</f>
        <v>20–40</v>
      </c>
      <c r="L123" t="b" s="43" cm="1">
        <f t="array" ref="L123">ISBLANK(F123)</f>
        <v>0</v>
      </c>
    </row>
    <row r="124" ht="18.5" customHeight="1">
      <c r="A124" t="s" s="36">
        <v>167</v>
      </c>
      <c r="B124" s="37">
        <v>45780</v>
      </c>
      <c r="C124" t="s" s="38">
        <v>34</v>
      </c>
      <c r="D124" t="s" s="38">
        <v>35</v>
      </c>
      <c r="E124" t="s" s="38">
        <v>48</v>
      </c>
      <c r="F124" s="39">
        <v>65</v>
      </c>
      <c r="G124" s="40">
        <v>122.67</v>
      </c>
      <c r="H124" t="s" s="38">
        <v>19</v>
      </c>
      <c r="I124" s="41" cm="1">
        <f t="array" ref="I124">IF(F124=0,"",G124/F124)</f>
        <v>1.88723076923077</v>
      </c>
      <c r="J124" t="str" s="42" cm="1">
        <f t="array" ref="J124">CHOOSE(MIN(6,INT(F124/20)+1),"0–20","20–40","40–60","60–80","80–100","100–120")</f>
        <v>60–80</v>
      </c>
      <c r="K124" t="str" s="42" cm="1">
        <f t="array" ref="K124">CHOOSE(MATCH(F124,{0;20;40;60;80;100}),"0–20","20–40","40–60","60–80","80–100","100–120")</f>
        <v>60–80</v>
      </c>
      <c r="L124" t="b" s="43" cm="1">
        <f t="array" ref="L124">ISBLANK(F124)</f>
        <v>0</v>
      </c>
    </row>
    <row r="125" ht="18.5" customHeight="1">
      <c r="A125" t="s" s="44">
        <v>168</v>
      </c>
      <c r="B125" s="45">
        <v>45780</v>
      </c>
      <c r="C125" t="s" s="46">
        <v>30</v>
      </c>
      <c r="D125" t="s" s="46">
        <v>42</v>
      </c>
      <c r="E125" t="s" s="46">
        <v>70</v>
      </c>
      <c r="F125" s="47">
        <v>41</v>
      </c>
      <c r="G125" s="48">
        <v>52.95</v>
      </c>
      <c r="H125" t="s" s="49">
        <v>24</v>
      </c>
      <c r="I125" s="50" cm="1">
        <f t="array" ref="I125">IF(F125=0,"",G125/F125)</f>
        <v>1.29146341463415</v>
      </c>
      <c r="J125" t="str" s="42" cm="1">
        <f t="array" ref="J125">CHOOSE(MIN(6,INT(F125/20)+1),"0–20","20–40","40–60","60–80","80–100","100–120")</f>
        <v>40–60</v>
      </c>
      <c r="K125" t="str" s="42" cm="1">
        <f t="array" ref="K125">CHOOSE(MATCH(F125,{0;20;40;60;80;100}),"0–20","20–40","40–60","60–80","80–100","100–120")</f>
        <v>40–60</v>
      </c>
      <c r="L125" t="b" s="43" cm="1">
        <f t="array" ref="L125">ISBLANK(F125)</f>
        <v>0</v>
      </c>
    </row>
    <row r="126" ht="18.5" customHeight="1">
      <c r="A126" t="s" s="36">
        <v>169</v>
      </c>
      <c r="B126" s="37">
        <v>45780</v>
      </c>
      <c r="C126" t="s" s="38">
        <v>26</v>
      </c>
      <c r="D126" t="s" s="38">
        <v>45</v>
      </c>
      <c r="E126" t="s" s="38">
        <v>28</v>
      </c>
      <c r="F126" s="39">
        <v>12</v>
      </c>
      <c r="G126" s="40">
        <v>20.63</v>
      </c>
      <c r="H126" t="s" s="38">
        <v>19</v>
      </c>
      <c r="I126" s="41" cm="1">
        <f t="array" ref="I126">IF(F126=0,"",G126/F126)</f>
        <v>1.71916666666667</v>
      </c>
      <c r="J126" t="str" s="42" cm="1">
        <f t="array" ref="J126">CHOOSE(MIN(6,INT(F126/20)+1),"0–20","20–40","40–60","60–80","80–100","100–120")</f>
        <v>0–20</v>
      </c>
      <c r="K126" t="str" s="42" cm="1">
        <f t="array" ref="K126">CHOOSE(MATCH(F126,{0;20;40;60;80;100}),"0–20","20–40","40–60","60–80","80–100","100–120")</f>
        <v>0–20</v>
      </c>
      <c r="L126" t="b" s="43" cm="1">
        <f t="array" ref="L126">ISBLANK(F126)</f>
        <v>0</v>
      </c>
    </row>
    <row r="127" ht="18.5" customHeight="1">
      <c r="A127" t="s" s="44">
        <v>170</v>
      </c>
      <c r="B127" s="45">
        <v>45780</v>
      </c>
      <c r="C127" t="s" s="46">
        <v>30</v>
      </c>
      <c r="D127" t="s" s="46">
        <v>31</v>
      </c>
      <c r="E127" t="s" s="46">
        <v>70</v>
      </c>
      <c r="F127" s="47">
        <v>10</v>
      </c>
      <c r="G127" s="48">
        <v>12.2</v>
      </c>
      <c r="H127" t="s" s="49">
        <v>19</v>
      </c>
      <c r="I127" s="50" cm="1">
        <f t="array" ref="I127">IF(F127=0,"",G127/F127)</f>
        <v>1.22</v>
      </c>
      <c r="J127" t="str" s="42" cm="1">
        <f t="array" ref="J127">CHOOSE(MIN(6,INT(F127/20)+1),"0–20","20–40","40–60","60–80","80–100","100–120")</f>
        <v>0–20</v>
      </c>
      <c r="K127" t="str" s="42" cm="1">
        <f t="array" ref="K127">CHOOSE(MATCH(F127,{0;20;40;60;80;100}),"0–20","20–40","40–60","60–80","80–100","100–120")</f>
        <v>0–20</v>
      </c>
      <c r="L127" t="b" s="43" cm="1">
        <f t="array" ref="L127">ISBLANK(F127)</f>
        <v>0</v>
      </c>
    </row>
    <row r="128" ht="18.5" customHeight="1">
      <c r="A128" t="s" s="36">
        <v>171</v>
      </c>
      <c r="B128" s="37">
        <v>45781</v>
      </c>
      <c r="C128" t="s" s="38">
        <v>30</v>
      </c>
      <c r="D128" t="s" s="38">
        <v>42</v>
      </c>
      <c r="E128" t="s" s="38">
        <v>43</v>
      </c>
      <c r="F128" s="39">
        <v>33</v>
      </c>
      <c r="G128" s="40">
        <v>42.26</v>
      </c>
      <c r="H128" t="s" s="38">
        <v>19</v>
      </c>
      <c r="I128" s="41" cm="1">
        <f t="array" ref="I128">IF(F128=0,"",G128/F128)</f>
        <v>1.28060606060606</v>
      </c>
      <c r="J128" t="str" s="42" cm="1">
        <f t="array" ref="J128">CHOOSE(MIN(6,INT(F128/20)+1),"0–20","20–40","40–60","60–80","80–100","100–120")</f>
        <v>20–40</v>
      </c>
      <c r="K128" t="str" s="42" cm="1">
        <f t="array" ref="K128">CHOOSE(MATCH(F128,{0;20;40;60;80;100}),"0–20","20–40","40–60","60–80","80–100","100–120")</f>
        <v>20–40</v>
      </c>
      <c r="L128" t="b" s="43" cm="1">
        <f t="array" ref="L128">ISBLANK(F128)</f>
        <v>0</v>
      </c>
    </row>
    <row r="129" ht="18.5" customHeight="1">
      <c r="A129" t="s" s="44">
        <v>172</v>
      </c>
      <c r="B129" s="45">
        <v>45781</v>
      </c>
      <c r="C129" t="s" s="46">
        <v>26</v>
      </c>
      <c r="D129" t="s" s="46">
        <v>45</v>
      </c>
      <c r="E129" t="s" s="46">
        <v>28</v>
      </c>
      <c r="F129" s="47">
        <v>40</v>
      </c>
      <c r="G129" s="48">
        <v>54.76</v>
      </c>
      <c r="H129" t="s" s="49">
        <v>19</v>
      </c>
      <c r="I129" s="50" cm="1">
        <f t="array" ref="I129">IF(F129=0,"",G129/F129)</f>
        <v>1.369</v>
      </c>
      <c r="J129" t="str" s="42" cm="1">
        <f t="array" ref="J129">CHOOSE(MIN(6,INT(F129/20)+1),"0–20","20–40","40–60","60–80","80–100","100–120")</f>
        <v>40–60</v>
      </c>
      <c r="K129" t="str" s="42" cm="1">
        <f t="array" ref="K129">CHOOSE(MATCH(F129,{0;20;40;60;80;100}),"0–20","20–40","40–60","60–80","80–100","100–120")</f>
        <v>40–60</v>
      </c>
      <c r="L129" t="b" s="43" cm="1">
        <f t="array" ref="L129">ISBLANK(F129)</f>
        <v>0</v>
      </c>
    </row>
    <row r="130" ht="18.5" customHeight="1">
      <c r="A130" t="s" s="36">
        <v>173</v>
      </c>
      <c r="B130" s="37">
        <v>45785</v>
      </c>
      <c r="C130" t="s" s="38">
        <v>26</v>
      </c>
      <c r="D130" t="s" s="38">
        <v>27</v>
      </c>
      <c r="E130" t="s" s="38">
        <v>39</v>
      </c>
      <c r="F130" s="39">
        <v>42</v>
      </c>
      <c r="G130" s="40">
        <v>58.91</v>
      </c>
      <c r="H130" t="s" s="38">
        <v>19</v>
      </c>
      <c r="I130" s="41" cm="1">
        <f t="array" ref="I130">IF(F130=0,"",G130/F130)</f>
        <v>1.40261904761905</v>
      </c>
      <c r="J130" t="str" s="42" cm="1">
        <f t="array" ref="J130">CHOOSE(MIN(6,INT(F130/20)+1),"0–20","20–40","40–60","60–80","80–100","100–120")</f>
        <v>40–60</v>
      </c>
      <c r="K130" t="str" s="42" cm="1">
        <f t="array" ref="K130">CHOOSE(MATCH(F130,{0;20;40;60;80;100}),"0–20","20–40","40–60","60–80","80–100","100–120")</f>
        <v>40–60</v>
      </c>
      <c r="L130" t="b" s="43" cm="1">
        <f t="array" ref="L130">ISBLANK(F130)</f>
        <v>0</v>
      </c>
    </row>
    <row r="131" ht="18.5" customHeight="1">
      <c r="A131" t="s" s="44">
        <v>174</v>
      </c>
      <c r="B131" s="45">
        <v>45787</v>
      </c>
      <c r="C131" t="s" s="46">
        <v>16</v>
      </c>
      <c r="D131" t="s" s="46">
        <v>63</v>
      </c>
      <c r="E131" t="s" s="46">
        <v>18</v>
      </c>
      <c r="F131" s="47">
        <v>45</v>
      </c>
      <c r="G131" s="48">
        <v>81.3</v>
      </c>
      <c r="H131" t="s" s="49">
        <v>19</v>
      </c>
      <c r="I131" s="50" cm="1">
        <f t="array" ref="I131">IF(F131=0,"",G131/F131)</f>
        <v>1.80666666666667</v>
      </c>
      <c r="J131" t="str" s="42" cm="1">
        <f t="array" ref="J131">CHOOSE(MIN(6,INT(F131/20)+1),"0–20","20–40","40–60","60–80","80–100","100–120")</f>
        <v>40–60</v>
      </c>
      <c r="K131" t="str" s="42" cm="1">
        <f t="array" ref="K131">CHOOSE(MATCH(F131,{0;20;40;60;80;100}),"0–20","20–40","40–60","60–80","80–100","100–120")</f>
        <v>40–60</v>
      </c>
      <c r="L131" t="b" s="43" cm="1">
        <f t="array" ref="L131">ISBLANK(F131)</f>
        <v>0</v>
      </c>
    </row>
    <row r="132" ht="18.5" customHeight="1">
      <c r="A132" t="s" s="36">
        <v>175</v>
      </c>
      <c r="B132" s="37">
        <v>45792</v>
      </c>
      <c r="C132" t="s" s="38">
        <v>16</v>
      </c>
      <c r="D132" t="s" s="38">
        <v>17</v>
      </c>
      <c r="E132" t="s" s="38">
        <v>65</v>
      </c>
      <c r="F132" s="39">
        <v>39</v>
      </c>
      <c r="G132" s="40">
        <v>62.39</v>
      </c>
      <c r="H132" t="s" s="38">
        <v>19</v>
      </c>
      <c r="I132" s="41" cm="1">
        <f t="array" ref="I132">IF(F132=0,"",G132/F132)</f>
        <v>1.59974358974359</v>
      </c>
      <c r="J132" t="str" s="42" cm="1">
        <f t="array" ref="J132">CHOOSE(MIN(6,INT(F132/20)+1),"0–20","20–40","40–60","60–80","80–100","100–120")</f>
        <v>20–40</v>
      </c>
      <c r="K132" t="str" s="42" cm="1">
        <f t="array" ref="K132">CHOOSE(MATCH(F132,{0;20;40;60;80;100}),"0–20","20–40","40–60","60–80","80–100","100–120")</f>
        <v>20–40</v>
      </c>
      <c r="L132" t="b" s="43" cm="1">
        <f t="array" ref="L132">ISBLANK(F132)</f>
        <v>0</v>
      </c>
    </row>
    <row r="133" ht="18.5" customHeight="1">
      <c r="A133" t="s" s="44">
        <v>176</v>
      </c>
      <c r="B133" s="45">
        <v>45793</v>
      </c>
      <c r="C133" t="s" s="46">
        <v>34</v>
      </c>
      <c r="D133" t="s" s="46">
        <v>47</v>
      </c>
      <c r="E133" t="s" s="46">
        <v>59</v>
      </c>
      <c r="F133" s="47">
        <v>35</v>
      </c>
      <c r="G133" s="48">
        <v>68.17</v>
      </c>
      <c r="H133" t="s" s="49">
        <v>19</v>
      </c>
      <c r="I133" s="50" cm="1">
        <f t="array" ref="I133">IF(F133=0,"",G133/F133)</f>
        <v>1.94771428571429</v>
      </c>
      <c r="J133" t="str" s="42" cm="1">
        <f t="array" ref="J133">CHOOSE(MIN(6,INT(F133/20)+1),"0–20","20–40","40–60","60–80","80–100","100–120")</f>
        <v>20–40</v>
      </c>
      <c r="K133" t="str" s="42" cm="1">
        <f t="array" ref="K133">CHOOSE(MATCH(F133,{0;20;40;60;80;100}),"0–20","20–40","40–60","60–80","80–100","100–120")</f>
        <v>20–40</v>
      </c>
      <c r="L133" t="b" s="43" cm="1">
        <f t="array" ref="L133">ISBLANK(F133)</f>
        <v>0</v>
      </c>
    </row>
    <row r="134" ht="18.5" customHeight="1">
      <c r="A134" t="s" s="36">
        <v>177</v>
      </c>
      <c r="B134" s="37">
        <v>45793</v>
      </c>
      <c r="C134" t="s" s="38">
        <v>26</v>
      </c>
      <c r="D134" t="s" s="38">
        <v>27</v>
      </c>
      <c r="E134" t="s" s="38">
        <v>39</v>
      </c>
      <c r="F134" s="39">
        <v>19</v>
      </c>
      <c r="G134" s="40">
        <v>31.72</v>
      </c>
      <c r="H134" t="s" s="38">
        <v>19</v>
      </c>
      <c r="I134" s="41" cm="1">
        <f t="array" ref="I134">IF(F134=0,"",G134/F134)</f>
        <v>1.66947368421053</v>
      </c>
      <c r="J134" t="str" s="42" cm="1">
        <f t="array" ref="J134">CHOOSE(MIN(6,INT(F134/20)+1),"0–20","20–40","40–60","60–80","80–100","100–120")</f>
        <v>0–20</v>
      </c>
      <c r="K134" t="str" s="42" cm="1">
        <f t="array" ref="K134">CHOOSE(MATCH(F134,{0;20;40;60;80;100}),"0–20","20–40","40–60","60–80","80–100","100–120")</f>
        <v>0–20</v>
      </c>
      <c r="L134" t="b" s="43" cm="1">
        <f t="array" ref="L134">ISBLANK(F134)</f>
        <v>0</v>
      </c>
    </row>
    <row r="135" ht="18.5" customHeight="1">
      <c r="A135" t="s" s="44">
        <v>178</v>
      </c>
      <c r="B135" s="45">
        <v>45793</v>
      </c>
      <c r="C135" t="s" s="46">
        <v>16</v>
      </c>
      <c r="D135" t="s" s="46">
        <v>17</v>
      </c>
      <c r="E135" t="s" s="46">
        <v>18</v>
      </c>
      <c r="F135" s="47">
        <v>25</v>
      </c>
      <c r="G135" s="48">
        <v>36.45</v>
      </c>
      <c r="H135" t="s" s="49">
        <v>19</v>
      </c>
      <c r="I135" s="50" cm="1">
        <f t="array" ref="I135">IF(F135=0,"",G135/F135)</f>
        <v>1.458</v>
      </c>
      <c r="J135" t="str" s="42" cm="1">
        <f t="array" ref="J135">CHOOSE(MIN(6,INT(F135/20)+1),"0–20","20–40","40–60","60–80","80–100","100–120")</f>
        <v>20–40</v>
      </c>
      <c r="K135" t="str" s="42" cm="1">
        <f t="array" ref="K135">CHOOSE(MATCH(F135,{0;20;40;60;80;100}),"0–20","20–40","40–60","60–80","80–100","100–120")</f>
        <v>20–40</v>
      </c>
      <c r="L135" t="b" s="43" cm="1">
        <f t="array" ref="L135">ISBLANK(F135)</f>
        <v>0</v>
      </c>
    </row>
    <row r="136" ht="18.5" customHeight="1">
      <c r="A136" t="s" s="36">
        <v>179</v>
      </c>
      <c r="B136" s="37">
        <v>45794</v>
      </c>
      <c r="C136" t="s" s="38">
        <v>21</v>
      </c>
      <c r="D136" t="s" s="38">
        <v>51</v>
      </c>
      <c r="E136" t="s" s="38">
        <v>32</v>
      </c>
      <c r="F136" s="39">
        <v>24</v>
      </c>
      <c r="G136" s="40">
        <v>24.86</v>
      </c>
      <c r="H136" t="s" s="38">
        <v>19</v>
      </c>
      <c r="I136" s="41" cm="1">
        <f t="array" ref="I136">IF(F136=0,"",G136/F136)</f>
        <v>1.03583333333333</v>
      </c>
      <c r="J136" t="str" s="42" cm="1">
        <f t="array" ref="J136">CHOOSE(MIN(6,INT(F136/20)+1),"0–20","20–40","40–60","60–80","80–100","100–120")</f>
        <v>20–40</v>
      </c>
      <c r="K136" t="str" s="42" cm="1">
        <f t="array" ref="K136">CHOOSE(MATCH(F136,{0;20;40;60;80;100}),"0–20","20–40","40–60","60–80","80–100","100–120")</f>
        <v>20–40</v>
      </c>
      <c r="L136" t="b" s="43" cm="1">
        <f t="array" ref="L136">ISBLANK(F136)</f>
        <v>0</v>
      </c>
    </row>
    <row r="137" ht="18.5" customHeight="1">
      <c r="A137" t="s" s="44">
        <v>180</v>
      </c>
      <c r="B137" s="45">
        <v>45795</v>
      </c>
      <c r="C137" t="s" s="46">
        <v>26</v>
      </c>
      <c r="D137" t="s" s="46">
        <v>27</v>
      </c>
      <c r="E137" t="s" s="46">
        <v>43</v>
      </c>
      <c r="F137" s="47">
        <v>47</v>
      </c>
      <c r="G137" s="48">
        <v>64.15000000000001</v>
      </c>
      <c r="H137" t="s" s="49">
        <v>19</v>
      </c>
      <c r="I137" s="50" cm="1">
        <f t="array" ref="I137">IF(F137=0,"",G137/F137)</f>
        <v>1.36489361702128</v>
      </c>
      <c r="J137" t="str" s="42" cm="1">
        <f t="array" ref="J137">CHOOSE(MIN(6,INT(F137/20)+1),"0–20","20–40","40–60","60–80","80–100","100–120")</f>
        <v>40–60</v>
      </c>
      <c r="K137" t="str" s="42" cm="1">
        <f t="array" ref="K137">CHOOSE(MATCH(F137,{0;20;40;60;80;100}),"0–20","20–40","40–60","60–80","80–100","100–120")</f>
        <v>40–60</v>
      </c>
      <c r="L137" t="b" s="43" cm="1">
        <f t="array" ref="L137">ISBLANK(F137)</f>
        <v>0</v>
      </c>
    </row>
    <row r="138" ht="18.5" customHeight="1">
      <c r="A138" t="s" s="36">
        <v>181</v>
      </c>
      <c r="B138" s="37">
        <v>45796</v>
      </c>
      <c r="C138" t="s" s="38">
        <v>21</v>
      </c>
      <c r="D138" t="s" s="38">
        <v>22</v>
      </c>
      <c r="E138" t="s" s="38">
        <v>32</v>
      </c>
      <c r="F138" s="39">
        <v>30</v>
      </c>
      <c r="G138" s="40">
        <v>31.67</v>
      </c>
      <c r="H138" t="s" s="38">
        <v>19</v>
      </c>
      <c r="I138" s="41" cm="1">
        <f t="array" ref="I138">IF(F138=0,"",G138/F138)</f>
        <v>1.05566666666667</v>
      </c>
      <c r="J138" t="str" s="42" cm="1">
        <f t="array" ref="J138">CHOOSE(MIN(6,INT(F138/20)+1),"0–20","20–40","40–60","60–80","80–100","100–120")</f>
        <v>20–40</v>
      </c>
      <c r="K138" t="str" s="42" cm="1">
        <f t="array" ref="K138">CHOOSE(MATCH(F138,{0;20;40;60;80;100}),"0–20","20–40","40–60","60–80","80–100","100–120")</f>
        <v>20–40</v>
      </c>
      <c r="L138" t="b" s="43" cm="1">
        <f t="array" ref="L138">ISBLANK(F138)</f>
        <v>0</v>
      </c>
    </row>
    <row r="139" ht="18.5" customHeight="1">
      <c r="A139" t="s" s="44">
        <v>182</v>
      </c>
      <c r="B139" s="45">
        <v>45797</v>
      </c>
      <c r="C139" t="s" s="46">
        <v>30</v>
      </c>
      <c r="D139" t="s" s="46">
        <v>31</v>
      </c>
      <c r="E139" t="s" s="46">
        <v>70</v>
      </c>
      <c r="F139" s="47">
        <v>36</v>
      </c>
      <c r="G139" s="48">
        <v>39.75</v>
      </c>
      <c r="H139" t="s" s="49">
        <v>19</v>
      </c>
      <c r="I139" s="50" cm="1">
        <f t="array" ref="I139">IF(F139=0,"",G139/F139)</f>
        <v>1.10416666666667</v>
      </c>
      <c r="J139" t="str" s="42" cm="1">
        <f t="array" ref="J139">CHOOSE(MIN(6,INT(F139/20)+1),"0–20","20–40","40–60","60–80","80–100","100–120")</f>
        <v>20–40</v>
      </c>
      <c r="K139" t="str" s="42" cm="1">
        <f t="array" ref="K139">CHOOSE(MATCH(F139,{0;20;40;60;80;100}),"0–20","20–40","40–60","60–80","80–100","100–120")</f>
        <v>20–40</v>
      </c>
      <c r="L139" t="b" s="43" cm="1">
        <f t="array" ref="L139">ISBLANK(F139)</f>
        <v>0</v>
      </c>
    </row>
    <row r="140" ht="18.5" customHeight="1">
      <c r="A140" t="s" s="36">
        <v>183</v>
      </c>
      <c r="B140" s="37">
        <v>45798</v>
      </c>
      <c r="C140" t="s" s="38">
        <v>30</v>
      </c>
      <c r="D140" t="s" s="38">
        <v>42</v>
      </c>
      <c r="E140" t="s" s="38">
        <v>32</v>
      </c>
      <c r="F140" s="39">
        <v>20</v>
      </c>
      <c r="G140" s="40">
        <v>24.68</v>
      </c>
      <c r="H140" t="s" s="38">
        <v>19</v>
      </c>
      <c r="I140" s="41" cm="1">
        <f t="array" ref="I140">IF(F140=0,"",G140/F140)</f>
        <v>1.234</v>
      </c>
      <c r="J140" t="str" s="42" cm="1">
        <f t="array" ref="J140">CHOOSE(MIN(6,INT(F140/20)+1),"0–20","20–40","40–60","60–80","80–100","100–120")</f>
        <v>20–40</v>
      </c>
      <c r="K140" t="str" s="42" cm="1">
        <f t="array" ref="K140">CHOOSE(MATCH(F140,{0;20;40;60;80;100}),"0–20","20–40","40–60","60–80","80–100","100–120")</f>
        <v>20–40</v>
      </c>
      <c r="L140" t="b" s="43" cm="1">
        <f t="array" ref="L140">ISBLANK(F140)</f>
        <v>0</v>
      </c>
    </row>
    <row r="141" ht="18.5" customHeight="1">
      <c r="A141" t="s" s="44">
        <v>184</v>
      </c>
      <c r="B141" s="45">
        <v>45798</v>
      </c>
      <c r="C141" t="s" s="46">
        <v>26</v>
      </c>
      <c r="D141" t="s" s="46">
        <v>27</v>
      </c>
      <c r="E141" t="s" s="46">
        <v>43</v>
      </c>
      <c r="F141" s="47">
        <v>62</v>
      </c>
      <c r="G141" s="48">
        <v>96.33</v>
      </c>
      <c r="H141" t="s" s="49">
        <v>24</v>
      </c>
      <c r="I141" s="50" cm="1">
        <f t="array" ref="I141">IF(F141=0,"",G141/F141)</f>
        <v>1.55370967741935</v>
      </c>
      <c r="J141" t="str" s="42" cm="1">
        <f t="array" ref="J141">CHOOSE(MIN(6,INT(F141/20)+1),"0–20","20–40","40–60","60–80","80–100","100–120")</f>
        <v>60–80</v>
      </c>
      <c r="K141" t="str" s="42" cm="1">
        <f t="array" ref="K141">CHOOSE(MATCH(F141,{0;20;40;60;80;100}),"0–20","20–40","40–60","60–80","80–100","100–120")</f>
        <v>60–80</v>
      </c>
      <c r="L141" t="b" s="43" cm="1">
        <f t="array" ref="L141">ISBLANK(F141)</f>
        <v>0</v>
      </c>
    </row>
    <row r="142" ht="18.5" customHeight="1">
      <c r="A142" t="s" s="36">
        <v>185</v>
      </c>
      <c r="B142" s="37">
        <v>45799</v>
      </c>
      <c r="C142" t="s" s="38">
        <v>26</v>
      </c>
      <c r="D142" t="s" s="38">
        <v>38</v>
      </c>
      <c r="E142" t="s" s="38">
        <v>39</v>
      </c>
      <c r="F142" s="39">
        <v>23</v>
      </c>
      <c r="G142" s="40">
        <v>31.84</v>
      </c>
      <c r="H142" t="s" s="38">
        <v>19</v>
      </c>
      <c r="I142" s="41" cm="1">
        <f t="array" ref="I142">IF(F142=0,"",G142/F142)</f>
        <v>1.38434782608696</v>
      </c>
      <c r="J142" t="str" s="42" cm="1">
        <f t="array" ref="J142">CHOOSE(MIN(6,INT(F142/20)+1),"0–20","20–40","40–60","60–80","80–100","100–120")</f>
        <v>20–40</v>
      </c>
      <c r="K142" t="str" s="42" cm="1">
        <f t="array" ref="K142">CHOOSE(MATCH(F142,{0;20;40;60;80;100}),"0–20","20–40","40–60","60–80","80–100","100–120")</f>
        <v>20–40</v>
      </c>
      <c r="L142" t="b" s="43" cm="1">
        <f t="array" ref="L142">ISBLANK(F142)</f>
        <v>0</v>
      </c>
    </row>
    <row r="143" ht="18.5" customHeight="1">
      <c r="A143" t="s" s="44">
        <v>186</v>
      </c>
      <c r="B143" s="45">
        <v>45800</v>
      </c>
      <c r="C143" t="s" s="46">
        <v>26</v>
      </c>
      <c r="D143" t="s" s="46">
        <v>27</v>
      </c>
      <c r="E143" t="s" s="46">
        <v>39</v>
      </c>
      <c r="F143" s="47">
        <v>42</v>
      </c>
      <c r="G143" s="48">
        <v>67.40000000000001</v>
      </c>
      <c r="H143" t="s" s="49">
        <v>19</v>
      </c>
      <c r="I143" s="50" cm="1">
        <f t="array" ref="I143">IF(F143=0,"",G143/F143)</f>
        <v>1.6047619047619</v>
      </c>
      <c r="J143" t="str" s="42" cm="1">
        <f t="array" ref="J143">CHOOSE(MIN(6,INT(F143/20)+1),"0–20","20–40","40–60","60–80","80–100","100–120")</f>
        <v>40–60</v>
      </c>
      <c r="K143" t="str" s="42" cm="1">
        <f t="array" ref="K143">CHOOSE(MATCH(F143,{0;20;40;60;80;100}),"0–20","20–40","40–60","60–80","80–100","100–120")</f>
        <v>40–60</v>
      </c>
      <c r="L143" t="b" s="43" cm="1">
        <f t="array" ref="L143">ISBLANK(F143)</f>
        <v>0</v>
      </c>
    </row>
    <row r="144" ht="18.5" customHeight="1">
      <c r="A144" t="s" s="36">
        <v>187</v>
      </c>
      <c r="B144" s="37">
        <v>45800</v>
      </c>
      <c r="C144" t="s" s="38">
        <v>26</v>
      </c>
      <c r="D144" t="s" s="38">
        <v>38</v>
      </c>
      <c r="E144" t="s" s="38">
        <v>28</v>
      </c>
      <c r="F144" s="39">
        <v>45</v>
      </c>
      <c r="G144" s="40">
        <v>73.16</v>
      </c>
      <c r="H144" t="s" s="38">
        <v>19</v>
      </c>
      <c r="I144" s="41" cm="1">
        <f t="array" ref="I144">IF(F144=0,"",G144/F144)</f>
        <v>1.62577777777778</v>
      </c>
      <c r="J144" t="str" s="42" cm="1">
        <f t="array" ref="J144">CHOOSE(MIN(6,INT(F144/20)+1),"0–20","20–40","40–60","60–80","80–100","100–120")</f>
        <v>40–60</v>
      </c>
      <c r="K144" t="str" s="42" cm="1">
        <f t="array" ref="K144">CHOOSE(MATCH(F144,{0;20;40;60;80;100}),"0–20","20–40","40–60","60–80","80–100","100–120")</f>
        <v>40–60</v>
      </c>
      <c r="L144" t="b" s="43" cm="1">
        <f t="array" ref="L144">ISBLANK(F144)</f>
        <v>0</v>
      </c>
    </row>
    <row r="145" ht="18.5" customHeight="1">
      <c r="A145" t="s" s="44">
        <v>188</v>
      </c>
      <c r="B145" s="45">
        <v>45803</v>
      </c>
      <c r="C145" t="s" s="46">
        <v>30</v>
      </c>
      <c r="D145" t="s" s="46">
        <v>31</v>
      </c>
      <c r="E145" t="s" s="46">
        <v>32</v>
      </c>
      <c r="F145" s="47">
        <v>23</v>
      </c>
      <c r="G145" s="48">
        <v>30.71</v>
      </c>
      <c r="H145" t="s" s="49">
        <v>19</v>
      </c>
      <c r="I145" s="50" cm="1">
        <f t="array" ref="I145">IF(F145=0,"",G145/F145)</f>
        <v>1.33521739130435</v>
      </c>
      <c r="J145" t="str" s="42" cm="1">
        <f t="array" ref="J145">CHOOSE(MIN(6,INT(F145/20)+1),"0–20","20–40","40–60","60–80","80–100","100–120")</f>
        <v>20–40</v>
      </c>
      <c r="K145" t="str" s="42" cm="1">
        <f t="array" ref="K145">CHOOSE(MATCH(F145,{0;20;40;60;80;100}),"0–20","20–40","40–60","60–80","80–100","100–120")</f>
        <v>20–40</v>
      </c>
      <c r="L145" t="b" s="43" cm="1">
        <f t="array" ref="L145">ISBLANK(F145)</f>
        <v>0</v>
      </c>
    </row>
    <row r="146" ht="18.5" customHeight="1">
      <c r="A146" t="s" s="36">
        <v>189</v>
      </c>
      <c r="B146" s="37">
        <v>45804</v>
      </c>
      <c r="C146" t="s" s="38">
        <v>26</v>
      </c>
      <c r="D146" t="s" s="38">
        <v>45</v>
      </c>
      <c r="E146" t="s" s="38">
        <v>39</v>
      </c>
      <c r="F146" s="39">
        <v>39</v>
      </c>
      <c r="G146" s="40">
        <v>54.86</v>
      </c>
      <c r="H146" t="s" s="38">
        <v>19</v>
      </c>
      <c r="I146" s="41" cm="1">
        <f t="array" ref="I146">IF(F146=0,"",G146/F146)</f>
        <v>1.40666666666667</v>
      </c>
      <c r="J146" t="str" s="42" cm="1">
        <f t="array" ref="J146">CHOOSE(MIN(6,INT(F146/20)+1),"0–20","20–40","40–60","60–80","80–100","100–120")</f>
        <v>20–40</v>
      </c>
      <c r="K146" t="str" s="42" cm="1">
        <f t="array" ref="K146">CHOOSE(MATCH(F146,{0;20;40;60;80;100}),"0–20","20–40","40–60","60–80","80–100","100–120")</f>
        <v>20–40</v>
      </c>
      <c r="L146" t="b" s="43" cm="1">
        <f t="array" ref="L146">ISBLANK(F146)</f>
        <v>0</v>
      </c>
    </row>
    <row r="147" ht="18.5" customHeight="1">
      <c r="A147" t="s" s="44">
        <v>190</v>
      </c>
      <c r="B147" s="45">
        <v>45804</v>
      </c>
      <c r="C147" t="s" s="46">
        <v>34</v>
      </c>
      <c r="D147" t="s" s="46">
        <v>47</v>
      </c>
      <c r="E147" t="s" s="46">
        <v>48</v>
      </c>
      <c r="F147" s="47">
        <v>48</v>
      </c>
      <c r="G147" s="48">
        <v>80.06999999999999</v>
      </c>
      <c r="H147" t="s" s="49">
        <v>19</v>
      </c>
      <c r="I147" s="50" cm="1">
        <f t="array" ref="I147">IF(F147=0,"",G147/F147)</f>
        <v>1.668125</v>
      </c>
      <c r="J147" t="str" s="42" cm="1">
        <f t="array" ref="J147">CHOOSE(MIN(6,INT(F147/20)+1),"0–20","20–40","40–60","60–80","80–100","100–120")</f>
        <v>40–60</v>
      </c>
      <c r="K147" t="str" s="42" cm="1">
        <f t="array" ref="K147">CHOOSE(MATCH(F147,{0;20;40;60;80;100}),"0–20","20–40","40–60","60–80","80–100","100–120")</f>
        <v>40–60</v>
      </c>
      <c r="L147" t="b" s="43" cm="1">
        <f t="array" ref="L147">ISBLANK(F147)</f>
        <v>0</v>
      </c>
    </row>
    <row r="148" ht="18.5" customHeight="1">
      <c r="A148" t="s" s="36">
        <v>191</v>
      </c>
      <c r="B148" s="37">
        <v>45805</v>
      </c>
      <c r="C148" t="s" s="38">
        <v>16</v>
      </c>
      <c r="D148" t="s" s="38">
        <v>17</v>
      </c>
      <c r="E148" t="s" s="38">
        <v>65</v>
      </c>
      <c r="F148" s="39">
        <v>22</v>
      </c>
      <c r="G148" s="40">
        <v>32</v>
      </c>
      <c r="H148" t="s" s="38">
        <v>19</v>
      </c>
      <c r="I148" s="41" cm="1">
        <f t="array" ref="I148">IF(F148=0,"",G148/F148)</f>
        <v>1.45454545454545</v>
      </c>
      <c r="J148" t="str" s="42" cm="1">
        <f t="array" ref="J148">CHOOSE(MIN(6,INT(F148/20)+1),"0–20","20–40","40–60","60–80","80–100","100–120")</f>
        <v>20–40</v>
      </c>
      <c r="K148" t="str" s="42" cm="1">
        <f t="array" ref="K148">CHOOSE(MATCH(F148,{0;20;40;60;80;100}),"0–20","20–40","40–60","60–80","80–100","100–120")</f>
        <v>20–40</v>
      </c>
      <c r="L148" t="b" s="43" cm="1">
        <f t="array" ref="L148">ISBLANK(F148)</f>
        <v>0</v>
      </c>
    </row>
    <row r="149" ht="18.5" customHeight="1">
      <c r="A149" t="s" s="44">
        <v>192</v>
      </c>
      <c r="B149" s="45">
        <v>45806</v>
      </c>
      <c r="C149" t="s" s="46">
        <v>21</v>
      </c>
      <c r="D149" t="s" s="46">
        <v>51</v>
      </c>
      <c r="E149" t="s" s="46">
        <v>32</v>
      </c>
      <c r="F149" s="47">
        <v>14</v>
      </c>
      <c r="G149" s="48">
        <v>17.07</v>
      </c>
      <c r="H149" t="s" s="49">
        <v>19</v>
      </c>
      <c r="I149" s="50" cm="1">
        <f t="array" ref="I149">IF(F149=0,"",G149/F149)</f>
        <v>1.21928571428571</v>
      </c>
      <c r="J149" t="str" s="42" cm="1">
        <f t="array" ref="J149">CHOOSE(MIN(6,INT(F149/20)+1),"0–20","20–40","40–60","60–80","80–100","100–120")</f>
        <v>0–20</v>
      </c>
      <c r="K149" t="str" s="42" cm="1">
        <f t="array" ref="K149">CHOOSE(MATCH(F149,{0;20;40;60;80;100}),"0–20","20–40","40–60","60–80","80–100","100–120")</f>
        <v>0–20</v>
      </c>
      <c r="L149" t="b" s="43" cm="1">
        <f t="array" ref="L149">ISBLANK(F149)</f>
        <v>0</v>
      </c>
    </row>
    <row r="150" ht="18.5" customHeight="1">
      <c r="A150" t="s" s="36">
        <v>193</v>
      </c>
      <c r="B150" s="37">
        <v>45806</v>
      </c>
      <c r="C150" t="s" s="38">
        <v>26</v>
      </c>
      <c r="D150" t="s" s="38">
        <v>38</v>
      </c>
      <c r="E150" t="s" s="38">
        <v>39</v>
      </c>
      <c r="F150" s="39">
        <v>27</v>
      </c>
      <c r="G150" s="40">
        <v>44.01</v>
      </c>
      <c r="H150" t="s" s="38">
        <v>19</v>
      </c>
      <c r="I150" s="41" cm="1">
        <f t="array" ref="I150">IF(F150=0,"",G150/F150)</f>
        <v>1.63</v>
      </c>
      <c r="J150" t="str" s="42" cm="1">
        <f t="array" ref="J150">CHOOSE(MIN(6,INT(F150/20)+1),"0–20","20–40","40–60","60–80","80–100","100–120")</f>
        <v>20–40</v>
      </c>
      <c r="K150" t="str" s="42" cm="1">
        <f t="array" ref="K150">CHOOSE(MATCH(F150,{0;20;40;60;80;100}),"0–20","20–40","40–60","60–80","80–100","100–120")</f>
        <v>20–40</v>
      </c>
      <c r="L150" t="b" s="43" cm="1">
        <f t="array" ref="L150">ISBLANK(F150)</f>
        <v>0</v>
      </c>
    </row>
    <row r="151" ht="18.5" customHeight="1">
      <c r="A151" t="s" s="44">
        <v>194</v>
      </c>
      <c r="B151" s="45">
        <v>45806</v>
      </c>
      <c r="C151" t="s" s="46">
        <v>21</v>
      </c>
      <c r="D151" t="s" s="46">
        <v>22</v>
      </c>
      <c r="E151" t="s" s="46">
        <v>32</v>
      </c>
      <c r="F151" s="47">
        <v>37</v>
      </c>
      <c r="G151" s="48">
        <v>44.91</v>
      </c>
      <c r="H151" t="s" s="49">
        <v>24</v>
      </c>
      <c r="I151" s="50" cm="1">
        <f t="array" ref="I151">IF(F151=0,"",G151/F151)</f>
        <v>1.21378378378378</v>
      </c>
      <c r="J151" t="str" s="42" cm="1">
        <f t="array" ref="J151">CHOOSE(MIN(6,INT(F151/20)+1),"0–20","20–40","40–60","60–80","80–100","100–120")</f>
        <v>20–40</v>
      </c>
      <c r="K151" t="str" s="42" cm="1">
        <f t="array" ref="K151">CHOOSE(MATCH(F151,{0;20;40;60;80;100}),"0–20","20–40","40–60","60–80","80–100","100–120")</f>
        <v>20–40</v>
      </c>
      <c r="L151" t="b" s="43" cm="1">
        <f t="array" ref="L151">ISBLANK(F151)</f>
        <v>0</v>
      </c>
    </row>
    <row r="152" ht="18.5" customHeight="1">
      <c r="A152" t="s" s="36">
        <v>195</v>
      </c>
      <c r="B152" s="37">
        <v>45806</v>
      </c>
      <c r="C152" t="s" s="38">
        <v>21</v>
      </c>
      <c r="D152" t="s" s="38">
        <v>51</v>
      </c>
      <c r="E152" t="s" s="38">
        <v>23</v>
      </c>
      <c r="F152" s="39">
        <v>17</v>
      </c>
      <c r="G152" s="40">
        <v>21.43</v>
      </c>
      <c r="H152" t="s" s="38">
        <v>19</v>
      </c>
      <c r="I152" s="41" cm="1">
        <f t="array" ref="I152">IF(F152=0,"",G152/F152)</f>
        <v>1.26058823529412</v>
      </c>
      <c r="J152" t="str" s="42" cm="1">
        <f t="array" ref="J152">CHOOSE(MIN(6,INT(F152/20)+1),"0–20","20–40","40–60","60–80","80–100","100–120")</f>
        <v>0–20</v>
      </c>
      <c r="K152" t="str" s="42" cm="1">
        <f t="array" ref="K152">CHOOSE(MATCH(F152,{0;20;40;60;80;100}),"0–20","20–40","40–60","60–80","80–100","100–120")</f>
        <v>0–20</v>
      </c>
      <c r="L152" t="b" s="43" cm="1">
        <f t="array" ref="L152">ISBLANK(F152)</f>
        <v>0</v>
      </c>
    </row>
    <row r="153" ht="18.5" customHeight="1">
      <c r="A153" t="s" s="44">
        <v>196</v>
      </c>
      <c r="B153" s="45">
        <v>45807</v>
      </c>
      <c r="C153" t="s" s="46">
        <v>34</v>
      </c>
      <c r="D153" t="s" s="46">
        <v>47</v>
      </c>
      <c r="E153" t="s" s="46">
        <v>36</v>
      </c>
      <c r="F153" s="47">
        <v>45</v>
      </c>
      <c r="G153" s="48">
        <v>78.63</v>
      </c>
      <c r="H153" t="s" s="49">
        <v>19</v>
      </c>
      <c r="I153" s="50" cm="1">
        <f t="array" ref="I153">IF(F153=0,"",G153/F153)</f>
        <v>1.74733333333333</v>
      </c>
      <c r="J153" t="str" s="42" cm="1">
        <f t="array" ref="J153">CHOOSE(MIN(6,INT(F153/20)+1),"0–20","20–40","40–60","60–80","80–100","100–120")</f>
        <v>40–60</v>
      </c>
      <c r="K153" t="str" s="42" cm="1">
        <f t="array" ref="K153">CHOOSE(MATCH(F153,{0;20;40;60;80;100}),"0–20","20–40","40–60","60–80","80–100","100–120")</f>
        <v>40–60</v>
      </c>
      <c r="L153" t="b" s="43" cm="1">
        <f t="array" ref="L153">ISBLANK(F153)</f>
        <v>0</v>
      </c>
    </row>
    <row r="154" ht="18.5" customHeight="1">
      <c r="A154" t="s" s="36">
        <v>197</v>
      </c>
      <c r="B154" s="37">
        <v>45808</v>
      </c>
      <c r="C154" t="s" s="38">
        <v>30</v>
      </c>
      <c r="D154" t="s" s="38">
        <v>31</v>
      </c>
      <c r="E154" t="s" s="38">
        <v>32</v>
      </c>
      <c r="F154" s="39">
        <v>45</v>
      </c>
      <c r="G154" s="40">
        <v>52.16</v>
      </c>
      <c r="H154" t="s" s="38">
        <v>24</v>
      </c>
      <c r="I154" s="41" cm="1">
        <f t="array" ref="I154">IF(F154=0,"",G154/F154)</f>
        <v>1.15911111111111</v>
      </c>
      <c r="J154" t="str" s="42" cm="1">
        <f t="array" ref="J154">CHOOSE(MIN(6,INT(F154/20)+1),"0–20","20–40","40–60","60–80","80–100","100–120")</f>
        <v>40–60</v>
      </c>
      <c r="K154" t="str" s="42" cm="1">
        <f t="array" ref="K154">CHOOSE(MATCH(F154,{0;20;40;60;80;100}),"0–20","20–40","40–60","60–80","80–100","100–120")</f>
        <v>40–60</v>
      </c>
      <c r="L154" t="b" s="43" cm="1">
        <f t="array" ref="L154">ISBLANK(F154)</f>
        <v>0</v>
      </c>
    </row>
    <row r="155" ht="18.5" customHeight="1">
      <c r="A155" t="s" s="44">
        <v>198</v>
      </c>
      <c r="B155" s="45">
        <v>45810</v>
      </c>
      <c r="C155" t="s" s="46">
        <v>26</v>
      </c>
      <c r="D155" t="s" s="46">
        <v>45</v>
      </c>
      <c r="E155" t="s" s="46">
        <v>39</v>
      </c>
      <c r="F155" s="47">
        <v>38</v>
      </c>
      <c r="G155" s="48">
        <v>61.34</v>
      </c>
      <c r="H155" t="s" s="49">
        <v>19</v>
      </c>
      <c r="I155" s="50" cm="1">
        <f t="array" ref="I155">IF(F155=0,"",G155/F155)</f>
        <v>1.61421052631579</v>
      </c>
      <c r="J155" t="str" s="42" cm="1">
        <f t="array" ref="J155">CHOOSE(MIN(6,INT(F155/20)+1),"0–20","20–40","40–60","60–80","80–100","100–120")</f>
        <v>20–40</v>
      </c>
      <c r="K155" t="str" s="42" cm="1">
        <f t="array" ref="K155">CHOOSE(MATCH(F155,{0;20;40;60;80;100}),"0–20","20–40","40–60","60–80","80–100","100–120")</f>
        <v>20–40</v>
      </c>
      <c r="L155" t="b" s="43" cm="1">
        <f t="array" ref="L155">ISBLANK(F155)</f>
        <v>0</v>
      </c>
    </row>
    <row r="156" ht="18.5" customHeight="1">
      <c r="A156" t="s" s="36">
        <v>199</v>
      </c>
      <c r="B156" s="37">
        <v>45810</v>
      </c>
      <c r="C156" t="s" s="38">
        <v>30</v>
      </c>
      <c r="D156" t="s" s="38">
        <v>31</v>
      </c>
      <c r="E156" t="s" s="38">
        <v>43</v>
      </c>
      <c r="F156" s="39">
        <v>22</v>
      </c>
      <c r="G156" s="40">
        <v>26.26</v>
      </c>
      <c r="H156" t="s" s="38">
        <v>19</v>
      </c>
      <c r="I156" s="41" cm="1">
        <f t="array" ref="I156">IF(F156=0,"",G156/F156)</f>
        <v>1.19363636363636</v>
      </c>
      <c r="J156" t="str" s="42" cm="1">
        <f t="array" ref="J156">CHOOSE(MIN(6,INT(F156/20)+1),"0–20","20–40","40–60","60–80","80–100","100–120")</f>
        <v>20–40</v>
      </c>
      <c r="K156" t="str" s="42" cm="1">
        <f t="array" ref="K156">CHOOSE(MATCH(F156,{0;20;40;60;80;100}),"0–20","20–40","40–60","60–80","80–100","100–120")</f>
        <v>20–40</v>
      </c>
      <c r="L156" t="b" s="43" cm="1">
        <f t="array" ref="L156">ISBLANK(F156)</f>
        <v>0</v>
      </c>
    </row>
    <row r="157" ht="18.5" customHeight="1">
      <c r="A157" t="s" s="44">
        <v>200</v>
      </c>
      <c r="B157" s="45">
        <v>45811</v>
      </c>
      <c r="C157" t="s" s="46">
        <v>21</v>
      </c>
      <c r="D157" t="s" s="46">
        <v>51</v>
      </c>
      <c r="E157" t="s" s="46">
        <v>32</v>
      </c>
      <c r="F157" s="47">
        <v>18</v>
      </c>
      <c r="G157" s="48">
        <v>21.49</v>
      </c>
      <c r="H157" t="s" s="49">
        <v>19</v>
      </c>
      <c r="I157" s="50" cm="1">
        <f t="array" ref="I157">IF(F157=0,"",G157/F157)</f>
        <v>1.19388888888889</v>
      </c>
      <c r="J157" t="str" s="42" cm="1">
        <f t="array" ref="J157">CHOOSE(MIN(6,INT(F157/20)+1),"0–20","20–40","40–60","60–80","80–100","100–120")</f>
        <v>0–20</v>
      </c>
      <c r="K157" t="str" s="42" cm="1">
        <f t="array" ref="K157">CHOOSE(MATCH(F157,{0;20;40;60;80;100}),"0–20","20–40","40–60","60–80","80–100","100–120")</f>
        <v>0–20</v>
      </c>
      <c r="L157" t="b" s="43" cm="1">
        <f t="array" ref="L157">ISBLANK(F157)</f>
        <v>0</v>
      </c>
    </row>
    <row r="158" ht="18.5" customHeight="1">
      <c r="A158" t="s" s="36">
        <v>201</v>
      </c>
      <c r="B158" s="37">
        <v>45811</v>
      </c>
      <c r="C158" t="s" s="38">
        <v>21</v>
      </c>
      <c r="D158" t="s" s="38">
        <v>51</v>
      </c>
      <c r="E158" t="s" s="38">
        <v>23</v>
      </c>
      <c r="F158" s="39">
        <v>16</v>
      </c>
      <c r="G158" s="40">
        <v>16.72</v>
      </c>
      <c r="H158" t="s" s="38">
        <v>19</v>
      </c>
      <c r="I158" s="41" cm="1">
        <f t="array" ref="I158">IF(F158=0,"",G158/F158)</f>
        <v>1.045</v>
      </c>
      <c r="J158" t="str" s="42" cm="1">
        <f t="array" ref="J158">CHOOSE(MIN(6,INT(F158/20)+1),"0–20","20–40","40–60","60–80","80–100","100–120")</f>
        <v>0–20</v>
      </c>
      <c r="K158" t="str" s="42" cm="1">
        <f t="array" ref="K158">CHOOSE(MATCH(F158,{0;20;40;60;80;100}),"0–20","20–40","40–60","60–80","80–100","100–120")</f>
        <v>0–20</v>
      </c>
      <c r="L158" t="b" s="43" cm="1">
        <f t="array" ref="L158">ISBLANK(F158)</f>
        <v>0</v>
      </c>
    </row>
    <row r="159" ht="18.5" customHeight="1">
      <c r="A159" t="s" s="44">
        <v>202</v>
      </c>
      <c r="B159" s="45">
        <v>45811</v>
      </c>
      <c r="C159" t="s" s="46">
        <v>26</v>
      </c>
      <c r="D159" t="s" s="46">
        <v>27</v>
      </c>
      <c r="E159" t="s" s="46">
        <v>39</v>
      </c>
      <c r="F159" s="47">
        <v>13</v>
      </c>
      <c r="G159" s="48">
        <v>18.72</v>
      </c>
      <c r="H159" t="s" s="49">
        <v>19</v>
      </c>
      <c r="I159" s="50" cm="1">
        <f t="array" ref="I159">IF(F159=0,"",G159/F159)</f>
        <v>1.44</v>
      </c>
      <c r="J159" t="str" s="42" cm="1">
        <f t="array" ref="J159">CHOOSE(MIN(6,INT(F159/20)+1),"0–20","20–40","40–60","60–80","80–100","100–120")</f>
        <v>0–20</v>
      </c>
      <c r="K159" t="str" s="42" cm="1">
        <f t="array" ref="K159">CHOOSE(MATCH(F159,{0;20;40;60;80;100}),"0–20","20–40","40–60","60–80","80–100","100–120")</f>
        <v>0–20</v>
      </c>
      <c r="L159" t="b" s="43" cm="1">
        <f t="array" ref="L159">ISBLANK(F159)</f>
        <v>0</v>
      </c>
    </row>
    <row r="160" ht="18.5" customHeight="1">
      <c r="A160" t="s" s="36">
        <v>203</v>
      </c>
      <c r="B160" s="37">
        <v>45812</v>
      </c>
      <c r="C160" t="s" s="38">
        <v>34</v>
      </c>
      <c r="D160" t="s" s="38">
        <v>35</v>
      </c>
      <c r="E160" t="s" s="38">
        <v>59</v>
      </c>
      <c r="F160" s="39">
        <v>32</v>
      </c>
      <c r="G160" s="40">
        <v>52.5</v>
      </c>
      <c r="H160" t="s" s="38">
        <v>19</v>
      </c>
      <c r="I160" s="41" cm="1">
        <f t="array" ref="I160">IF(F160=0,"",G160/F160)</f>
        <v>1.640625</v>
      </c>
      <c r="J160" t="str" s="42" cm="1">
        <f t="array" ref="J160">CHOOSE(MIN(6,INT(F160/20)+1),"0–20","20–40","40–60","60–80","80–100","100–120")</f>
        <v>20–40</v>
      </c>
      <c r="K160" t="str" s="42" cm="1">
        <f t="array" ref="K160">CHOOSE(MATCH(F160,{0;20;40;60;80;100}),"0–20","20–40","40–60","60–80","80–100","100–120")</f>
        <v>20–40</v>
      </c>
      <c r="L160" t="b" s="43" cm="1">
        <f t="array" ref="L160">ISBLANK(F160)</f>
        <v>0</v>
      </c>
    </row>
    <row r="161" ht="18.5" customHeight="1">
      <c r="A161" t="s" s="44">
        <v>204</v>
      </c>
      <c r="B161" s="45">
        <v>45812</v>
      </c>
      <c r="C161" t="s" s="46">
        <v>30</v>
      </c>
      <c r="D161" t="s" s="46">
        <v>31</v>
      </c>
      <c r="E161" t="s" s="46">
        <v>70</v>
      </c>
      <c r="F161" s="47">
        <v>25</v>
      </c>
      <c r="G161" s="48">
        <v>30.4</v>
      </c>
      <c r="H161" t="s" s="49">
        <v>19</v>
      </c>
      <c r="I161" s="50" cm="1">
        <f t="array" ref="I161">IF(F161=0,"",G161/F161)</f>
        <v>1.216</v>
      </c>
      <c r="J161" t="str" s="42" cm="1">
        <f t="array" ref="J161">CHOOSE(MIN(6,INT(F161/20)+1),"0–20","20–40","40–60","60–80","80–100","100–120")</f>
        <v>20–40</v>
      </c>
      <c r="K161" t="str" s="42" cm="1">
        <f t="array" ref="K161">CHOOSE(MATCH(F161,{0;20;40;60;80;100}),"0–20","20–40","40–60","60–80","80–100","100–120")</f>
        <v>20–40</v>
      </c>
      <c r="L161" t="b" s="43" cm="1">
        <f t="array" ref="L161">ISBLANK(F161)</f>
        <v>0</v>
      </c>
    </row>
    <row r="162" ht="18.5" customHeight="1">
      <c r="A162" t="s" s="36">
        <v>205</v>
      </c>
      <c r="B162" s="37">
        <v>45813</v>
      </c>
      <c r="C162" t="s" s="38">
        <v>26</v>
      </c>
      <c r="D162" t="s" s="38">
        <v>45</v>
      </c>
      <c r="E162" t="s" s="38">
        <v>43</v>
      </c>
      <c r="F162" s="39">
        <v>25</v>
      </c>
      <c r="G162" s="40">
        <v>37.89</v>
      </c>
      <c r="H162" t="s" s="38">
        <v>19</v>
      </c>
      <c r="I162" s="41" cm="1">
        <f t="array" ref="I162">IF(F162=0,"",G162/F162)</f>
        <v>1.5156</v>
      </c>
      <c r="J162" t="str" s="42" cm="1">
        <f t="array" ref="J162">CHOOSE(MIN(6,INT(F162/20)+1),"0–20","20–40","40–60","60–80","80–100","100–120")</f>
        <v>20–40</v>
      </c>
      <c r="K162" t="str" s="42" cm="1">
        <f t="array" ref="K162">CHOOSE(MATCH(F162,{0;20;40;60;80;100}),"0–20","20–40","40–60","60–80","80–100","100–120")</f>
        <v>20–40</v>
      </c>
      <c r="L162" t="b" s="43" cm="1">
        <f t="array" ref="L162">ISBLANK(F162)</f>
        <v>0</v>
      </c>
    </row>
    <row r="163" ht="18.5" customHeight="1">
      <c r="A163" t="s" s="44">
        <v>206</v>
      </c>
      <c r="B163" s="45">
        <v>45813</v>
      </c>
      <c r="C163" t="s" s="46">
        <v>34</v>
      </c>
      <c r="D163" t="s" s="46">
        <v>35</v>
      </c>
      <c r="E163" t="s" s="46">
        <v>48</v>
      </c>
      <c r="F163" s="47">
        <v>28</v>
      </c>
      <c r="G163" s="48">
        <v>52.87</v>
      </c>
      <c r="H163" t="s" s="49">
        <v>19</v>
      </c>
      <c r="I163" s="50" cm="1">
        <f t="array" ref="I163">IF(F163=0,"",G163/F163)</f>
        <v>1.88821428571429</v>
      </c>
      <c r="J163" t="str" s="42" cm="1">
        <f t="array" ref="J163">CHOOSE(MIN(6,INT(F163/20)+1),"0–20","20–40","40–60","60–80","80–100","100–120")</f>
        <v>20–40</v>
      </c>
      <c r="K163" t="str" s="42" cm="1">
        <f t="array" ref="K163">CHOOSE(MATCH(F163,{0;20;40;60;80;100}),"0–20","20–40","40–60","60–80","80–100","100–120")</f>
        <v>20–40</v>
      </c>
      <c r="L163" t="b" s="43" cm="1">
        <f t="array" ref="L163">ISBLANK(F163)</f>
        <v>0</v>
      </c>
    </row>
    <row r="164" ht="18.5" customHeight="1">
      <c r="A164" t="s" s="36">
        <v>207</v>
      </c>
      <c r="B164" s="37">
        <v>45814</v>
      </c>
      <c r="C164" t="s" s="38">
        <v>26</v>
      </c>
      <c r="D164" t="s" s="38">
        <v>38</v>
      </c>
      <c r="E164" t="s" s="38">
        <v>43</v>
      </c>
      <c r="F164" s="39">
        <v>37</v>
      </c>
      <c r="G164" s="40">
        <v>57.39</v>
      </c>
      <c r="H164" t="s" s="38">
        <v>19</v>
      </c>
      <c r="I164" s="41" cm="1">
        <f t="array" ref="I164">IF(F164=0,"",G164/F164)</f>
        <v>1.55108108108108</v>
      </c>
      <c r="J164" t="str" s="42" cm="1">
        <f t="array" ref="J164">CHOOSE(MIN(6,INT(F164/20)+1),"0–20","20–40","40–60","60–80","80–100","100–120")</f>
        <v>20–40</v>
      </c>
      <c r="K164" t="str" s="42" cm="1">
        <f t="array" ref="K164">CHOOSE(MATCH(F164,{0;20;40;60;80;100}),"0–20","20–40","40–60","60–80","80–100","100–120")</f>
        <v>20–40</v>
      </c>
      <c r="L164" t="b" s="43" cm="1">
        <f t="array" ref="L164">ISBLANK(F164)</f>
        <v>0</v>
      </c>
    </row>
    <row r="165" ht="18.5" customHeight="1">
      <c r="A165" t="s" s="44">
        <v>208</v>
      </c>
      <c r="B165" s="45">
        <v>45815</v>
      </c>
      <c r="C165" t="s" s="46">
        <v>30</v>
      </c>
      <c r="D165" t="s" s="46">
        <v>31</v>
      </c>
      <c r="E165" t="s" s="46">
        <v>70</v>
      </c>
      <c r="F165" s="47">
        <v>36</v>
      </c>
      <c r="G165" s="48">
        <v>46.44</v>
      </c>
      <c r="H165" t="s" s="49">
        <v>19</v>
      </c>
      <c r="I165" s="50" cm="1">
        <f t="array" ref="I165">IF(F165=0,"",G165/F165)</f>
        <v>1.29</v>
      </c>
      <c r="J165" t="str" s="42" cm="1">
        <f t="array" ref="J165">CHOOSE(MIN(6,INT(F165/20)+1),"0–20","20–40","40–60","60–80","80–100","100–120")</f>
        <v>20–40</v>
      </c>
      <c r="K165" t="str" s="42" cm="1">
        <f t="array" ref="K165">CHOOSE(MATCH(F165,{0;20;40;60;80;100}),"0–20","20–40","40–60","60–80","80–100","100–120")</f>
        <v>20–40</v>
      </c>
      <c r="L165" t="b" s="43" cm="1">
        <f t="array" ref="L165">ISBLANK(F165)</f>
        <v>0</v>
      </c>
    </row>
    <row r="166" ht="18.5" customHeight="1">
      <c r="A166" t="s" s="36">
        <v>209</v>
      </c>
      <c r="B166" s="37">
        <v>45816</v>
      </c>
      <c r="C166" t="s" s="38">
        <v>16</v>
      </c>
      <c r="D166" t="s" s="38">
        <v>17</v>
      </c>
      <c r="E166" t="s" s="38">
        <v>18</v>
      </c>
      <c r="F166" s="39">
        <v>14</v>
      </c>
      <c r="G166" s="40">
        <v>24.06</v>
      </c>
      <c r="H166" t="s" s="38">
        <v>19</v>
      </c>
      <c r="I166" s="41" cm="1">
        <f t="array" ref="I166">IF(F166=0,"",G166/F166)</f>
        <v>1.71857142857143</v>
      </c>
      <c r="J166" t="str" s="42" cm="1">
        <f t="array" ref="J166">CHOOSE(MIN(6,INT(F166/20)+1),"0–20","20–40","40–60","60–80","80–100","100–120")</f>
        <v>0–20</v>
      </c>
      <c r="K166" t="str" s="42" cm="1">
        <f t="array" ref="K166">CHOOSE(MATCH(F166,{0;20;40;60;80;100}),"0–20","20–40","40–60","60–80","80–100","100–120")</f>
        <v>0–20</v>
      </c>
      <c r="L166" t="b" s="43" cm="1">
        <f t="array" ref="L166">ISBLANK(F166)</f>
        <v>0</v>
      </c>
    </row>
    <row r="167" ht="18.5" customHeight="1">
      <c r="A167" t="s" s="44">
        <v>210</v>
      </c>
      <c r="B167" s="45">
        <v>45816</v>
      </c>
      <c r="C167" t="s" s="46">
        <v>16</v>
      </c>
      <c r="D167" t="s" s="46">
        <v>63</v>
      </c>
      <c r="E167" t="s" s="46">
        <v>65</v>
      </c>
      <c r="F167" s="47">
        <v>26</v>
      </c>
      <c r="G167" s="48">
        <v>46.9</v>
      </c>
      <c r="H167" t="s" s="49">
        <v>19</v>
      </c>
      <c r="I167" s="50" cm="1">
        <f t="array" ref="I167">IF(F167=0,"",G167/F167)</f>
        <v>1.80384615384615</v>
      </c>
      <c r="J167" t="str" s="42" cm="1">
        <f t="array" ref="J167">CHOOSE(MIN(6,INT(F167/20)+1),"0–20","20–40","40–60","60–80","80–100","100–120")</f>
        <v>20–40</v>
      </c>
      <c r="K167" t="str" s="42" cm="1">
        <f t="array" ref="K167">CHOOSE(MATCH(F167,{0;20;40;60;80;100}),"0–20","20–40","40–60","60–80","80–100","100–120")</f>
        <v>20–40</v>
      </c>
      <c r="L167" t="b" s="43" cm="1">
        <f t="array" ref="L167">ISBLANK(F167)</f>
        <v>0</v>
      </c>
    </row>
    <row r="168" ht="18.5" customHeight="1">
      <c r="A168" t="s" s="36">
        <v>211</v>
      </c>
      <c r="B168" s="37">
        <v>45816</v>
      </c>
      <c r="C168" t="s" s="38">
        <v>21</v>
      </c>
      <c r="D168" t="s" s="38">
        <v>22</v>
      </c>
      <c r="E168" t="s" s="38">
        <v>32</v>
      </c>
      <c r="F168" s="39">
        <v>26</v>
      </c>
      <c r="G168" s="40">
        <v>29.99</v>
      </c>
      <c r="H168" t="s" s="38">
        <v>19</v>
      </c>
      <c r="I168" s="41" cm="1">
        <f t="array" ref="I168">IF(F168=0,"",G168/F168)</f>
        <v>1.15346153846154</v>
      </c>
      <c r="J168" t="str" s="42" cm="1">
        <f t="array" ref="J168">CHOOSE(MIN(6,INT(F168/20)+1),"0–20","20–40","40–60","60–80","80–100","100–120")</f>
        <v>20–40</v>
      </c>
      <c r="K168" t="str" s="42" cm="1">
        <f t="array" ref="K168">CHOOSE(MATCH(F168,{0;20;40;60;80;100}),"0–20","20–40","40–60","60–80","80–100","100–120")</f>
        <v>20–40</v>
      </c>
      <c r="L168" t="b" s="43" cm="1">
        <f t="array" ref="L168">ISBLANK(F168)</f>
        <v>0</v>
      </c>
    </row>
    <row r="169" ht="18.5" customHeight="1">
      <c r="A169" t="s" s="44">
        <v>212</v>
      </c>
      <c r="B169" s="45">
        <v>45817</v>
      </c>
      <c r="C169" t="s" s="46">
        <v>30</v>
      </c>
      <c r="D169" t="s" s="46">
        <v>31</v>
      </c>
      <c r="E169" t="s" s="46">
        <v>70</v>
      </c>
      <c r="F169" s="47">
        <v>31</v>
      </c>
      <c r="G169" s="48">
        <v>38.99</v>
      </c>
      <c r="H169" t="s" s="49">
        <v>19</v>
      </c>
      <c r="I169" s="50" cm="1">
        <f t="array" ref="I169">IF(F169=0,"",G169/F169)</f>
        <v>1.25774193548387</v>
      </c>
      <c r="J169" t="str" s="42" cm="1">
        <f t="array" ref="J169">CHOOSE(MIN(6,INT(F169/20)+1),"0–20","20–40","40–60","60–80","80–100","100–120")</f>
        <v>20–40</v>
      </c>
      <c r="K169" t="str" s="42" cm="1">
        <f t="array" ref="K169">CHOOSE(MATCH(F169,{0;20;40;60;80;100}),"0–20","20–40","40–60","60–80","80–100","100–120")</f>
        <v>20–40</v>
      </c>
      <c r="L169" t="b" s="43" cm="1">
        <f t="array" ref="L169">ISBLANK(F169)</f>
        <v>0</v>
      </c>
    </row>
    <row r="170" ht="18.5" customHeight="1">
      <c r="A170" t="s" s="36">
        <v>213</v>
      </c>
      <c r="B170" s="37">
        <v>45818</v>
      </c>
      <c r="C170" t="s" s="38">
        <v>26</v>
      </c>
      <c r="D170" t="s" s="38">
        <v>45</v>
      </c>
      <c r="E170" t="s" s="38">
        <v>28</v>
      </c>
      <c r="F170" s="39">
        <v>29</v>
      </c>
      <c r="G170" s="40">
        <v>42.59</v>
      </c>
      <c r="H170" t="s" s="38">
        <v>19</v>
      </c>
      <c r="I170" s="41" cm="1">
        <f t="array" ref="I170">IF(F170=0,"",G170/F170)</f>
        <v>1.46862068965517</v>
      </c>
      <c r="J170" t="str" s="42" cm="1">
        <f t="array" ref="J170">CHOOSE(MIN(6,INT(F170/20)+1),"0–20","20–40","40–60","60–80","80–100","100–120")</f>
        <v>20–40</v>
      </c>
      <c r="K170" t="str" s="42" cm="1">
        <f t="array" ref="K170">CHOOSE(MATCH(F170,{0;20;40;60;80;100}),"0–20","20–40","40–60","60–80","80–100","100–120")</f>
        <v>20–40</v>
      </c>
      <c r="L170" t="b" s="43" cm="1">
        <f t="array" ref="L170">ISBLANK(F170)</f>
        <v>0</v>
      </c>
    </row>
    <row r="171" ht="18.5" customHeight="1">
      <c r="A171" t="s" s="44">
        <v>214</v>
      </c>
      <c r="B171" s="45">
        <v>45818</v>
      </c>
      <c r="C171" t="s" s="46">
        <v>30</v>
      </c>
      <c r="D171" t="s" s="46">
        <v>42</v>
      </c>
      <c r="E171" t="s" s="46">
        <v>70</v>
      </c>
      <c r="F171" s="47">
        <v>30</v>
      </c>
      <c r="G171" s="48">
        <v>32.8</v>
      </c>
      <c r="H171" t="s" s="49">
        <v>19</v>
      </c>
      <c r="I171" s="50" cm="1">
        <f t="array" ref="I171">IF(F171=0,"",G171/F171)</f>
        <v>1.09333333333333</v>
      </c>
      <c r="J171" t="str" s="42" cm="1">
        <f t="array" ref="J171">CHOOSE(MIN(6,INT(F171/20)+1),"0–20","20–40","40–60","60–80","80–100","100–120")</f>
        <v>20–40</v>
      </c>
      <c r="K171" t="str" s="42" cm="1">
        <f t="array" ref="K171">CHOOSE(MATCH(F171,{0;20;40;60;80;100}),"0–20","20–40","40–60","60–80","80–100","100–120")</f>
        <v>20–40</v>
      </c>
      <c r="L171" t="b" s="43" cm="1">
        <f t="array" ref="L171">ISBLANK(F171)</f>
        <v>0</v>
      </c>
    </row>
    <row r="172" ht="18.5" customHeight="1">
      <c r="A172" t="s" s="36">
        <v>215</v>
      </c>
      <c r="B172" s="37">
        <v>45818</v>
      </c>
      <c r="C172" t="s" s="38">
        <v>21</v>
      </c>
      <c r="D172" t="s" s="38">
        <v>22</v>
      </c>
      <c r="E172" t="s" s="38">
        <v>52</v>
      </c>
      <c r="F172" s="39">
        <v>21</v>
      </c>
      <c r="G172" s="40">
        <v>26.5</v>
      </c>
      <c r="H172" t="s" s="38">
        <v>19</v>
      </c>
      <c r="I172" s="41" cm="1">
        <f t="array" ref="I172">IF(F172=0,"",G172/F172)</f>
        <v>1.26190476190476</v>
      </c>
      <c r="J172" t="str" s="42" cm="1">
        <f t="array" ref="J172">CHOOSE(MIN(6,INT(F172/20)+1),"0–20","20–40","40–60","60–80","80–100","100–120")</f>
        <v>20–40</v>
      </c>
      <c r="K172" t="str" s="42" cm="1">
        <f t="array" ref="K172">CHOOSE(MATCH(F172,{0;20;40;60;80;100}),"0–20","20–40","40–60","60–80","80–100","100–120")</f>
        <v>20–40</v>
      </c>
      <c r="L172" t="b" s="43" cm="1">
        <f t="array" ref="L172">ISBLANK(F172)</f>
        <v>0</v>
      </c>
    </row>
    <row r="173" ht="18.5" customHeight="1">
      <c r="A173" t="s" s="44">
        <v>216</v>
      </c>
      <c r="B173" s="45">
        <v>45818</v>
      </c>
      <c r="C173" t="s" s="46">
        <v>21</v>
      </c>
      <c r="D173" t="s" s="46">
        <v>22</v>
      </c>
      <c r="E173" t="s" s="46">
        <v>52</v>
      </c>
      <c r="F173" s="47">
        <v>31</v>
      </c>
      <c r="G173" s="48">
        <v>33.61</v>
      </c>
      <c r="H173" t="s" s="49">
        <v>24</v>
      </c>
      <c r="I173" s="50" cm="1">
        <f t="array" ref="I173">IF(F173=0,"",G173/F173)</f>
        <v>1.0841935483871</v>
      </c>
      <c r="J173" t="str" s="42" cm="1">
        <f t="array" ref="J173">CHOOSE(MIN(6,INT(F173/20)+1),"0–20","20–40","40–60","60–80","80–100","100–120")</f>
        <v>20–40</v>
      </c>
      <c r="K173" t="str" s="42" cm="1">
        <f t="array" ref="K173">CHOOSE(MATCH(F173,{0;20;40;60;80;100}),"0–20","20–40","40–60","60–80","80–100","100–120")</f>
        <v>20–40</v>
      </c>
      <c r="L173" t="b" s="43" cm="1">
        <f t="array" ref="L173">ISBLANK(F173)</f>
        <v>0</v>
      </c>
    </row>
    <row r="174" ht="18.5" customHeight="1">
      <c r="A174" t="s" s="36">
        <v>217</v>
      </c>
      <c r="B174" s="37">
        <v>45820</v>
      </c>
      <c r="C174" t="s" s="38">
        <v>30</v>
      </c>
      <c r="D174" t="s" s="38">
        <v>31</v>
      </c>
      <c r="E174" t="s" s="38">
        <v>70</v>
      </c>
      <c r="F174" s="39">
        <v>21</v>
      </c>
      <c r="G174" s="40">
        <v>28.21</v>
      </c>
      <c r="H174" t="s" s="38">
        <v>19</v>
      </c>
      <c r="I174" s="41" cm="1">
        <f t="array" ref="I174">IF(F174=0,"",G174/F174)</f>
        <v>1.34333333333333</v>
      </c>
      <c r="J174" t="str" s="42" cm="1">
        <f t="array" ref="J174">CHOOSE(MIN(6,INT(F174/20)+1),"0–20","20–40","40–60","60–80","80–100","100–120")</f>
        <v>20–40</v>
      </c>
      <c r="K174" t="str" s="42" cm="1">
        <f t="array" ref="K174">CHOOSE(MATCH(F174,{0;20;40;60;80;100}),"0–20","20–40","40–60","60–80","80–100","100–120")</f>
        <v>20–40</v>
      </c>
      <c r="L174" t="b" s="43" cm="1">
        <f t="array" ref="L174">ISBLANK(F174)</f>
        <v>0</v>
      </c>
    </row>
    <row r="175" ht="18.5" customHeight="1">
      <c r="A175" t="s" s="44">
        <v>218</v>
      </c>
      <c r="B175" s="45">
        <v>45824</v>
      </c>
      <c r="C175" t="s" s="46">
        <v>26</v>
      </c>
      <c r="D175" t="s" s="46">
        <v>38</v>
      </c>
      <c r="E175" t="s" s="46">
        <v>39</v>
      </c>
      <c r="F175" s="47">
        <v>39</v>
      </c>
      <c r="G175" s="48">
        <v>65.52</v>
      </c>
      <c r="H175" t="s" s="49">
        <v>19</v>
      </c>
      <c r="I175" s="50" cm="1">
        <f t="array" ref="I175">IF(F175=0,"",G175/F175)</f>
        <v>1.68</v>
      </c>
      <c r="J175" t="str" s="42" cm="1">
        <f t="array" ref="J175">CHOOSE(MIN(6,INT(F175/20)+1),"0–20","20–40","40–60","60–80","80–100","100–120")</f>
        <v>20–40</v>
      </c>
      <c r="K175" t="str" s="42" cm="1">
        <f t="array" ref="K175">CHOOSE(MATCH(F175,{0;20;40;60;80;100}),"0–20","20–40","40–60","60–80","80–100","100–120")</f>
        <v>20–40</v>
      </c>
      <c r="L175" t="b" s="43" cm="1">
        <f t="array" ref="L175">ISBLANK(F175)</f>
        <v>0</v>
      </c>
    </row>
    <row r="176" ht="18.5" customHeight="1">
      <c r="A176" t="s" s="36">
        <v>219</v>
      </c>
      <c r="B176" s="37">
        <v>45825</v>
      </c>
      <c r="C176" t="s" s="38">
        <v>26</v>
      </c>
      <c r="D176" t="s" s="38">
        <v>45</v>
      </c>
      <c r="E176" t="s" s="38">
        <v>39</v>
      </c>
      <c r="F176" s="39">
        <v>28</v>
      </c>
      <c r="G176" s="40">
        <v>45.79</v>
      </c>
      <c r="H176" t="s" s="38">
        <v>19</v>
      </c>
      <c r="I176" s="41" cm="1">
        <f t="array" ref="I176">IF(F176=0,"",G176/F176)</f>
        <v>1.63535714285714</v>
      </c>
      <c r="J176" t="str" s="42" cm="1">
        <f t="array" ref="J176">CHOOSE(MIN(6,INT(F176/20)+1),"0–20","20–40","40–60","60–80","80–100","100–120")</f>
        <v>20–40</v>
      </c>
      <c r="K176" t="str" s="42" cm="1">
        <f t="array" ref="K176">CHOOSE(MATCH(F176,{0;20;40;60;80;100}),"0–20","20–40","40–60","60–80","80–100","100–120")</f>
        <v>20–40</v>
      </c>
      <c r="L176" t="b" s="43" cm="1">
        <f t="array" ref="L176">ISBLANK(F176)</f>
        <v>0</v>
      </c>
    </row>
    <row r="177" ht="18.5" customHeight="1">
      <c r="A177" t="s" s="44">
        <v>220</v>
      </c>
      <c r="B177" s="45">
        <v>45825</v>
      </c>
      <c r="C177" t="s" s="46">
        <v>16</v>
      </c>
      <c r="D177" t="s" s="46">
        <v>63</v>
      </c>
      <c r="E177" t="s" s="46">
        <v>36</v>
      </c>
      <c r="F177" s="47">
        <v>35</v>
      </c>
      <c r="G177" s="48">
        <v>52.25</v>
      </c>
      <c r="H177" t="s" s="49">
        <v>19</v>
      </c>
      <c r="I177" s="50" cm="1">
        <f t="array" ref="I177">IF(F177=0,"",G177/F177)</f>
        <v>1.49285714285714</v>
      </c>
      <c r="J177" t="str" s="42" cm="1">
        <f t="array" ref="J177">CHOOSE(MIN(6,INT(F177/20)+1),"0–20","20–40","40–60","60–80","80–100","100–120")</f>
        <v>20–40</v>
      </c>
      <c r="K177" t="str" s="42" cm="1">
        <f t="array" ref="K177">CHOOSE(MATCH(F177,{0;20;40;60;80;100}),"0–20","20–40","40–60","60–80","80–100","100–120")</f>
        <v>20–40</v>
      </c>
      <c r="L177" t="b" s="43" cm="1">
        <f t="array" ref="L177">ISBLANK(F177)</f>
        <v>0</v>
      </c>
    </row>
    <row r="178" ht="18.5" customHeight="1">
      <c r="A178" t="s" s="36">
        <v>221</v>
      </c>
      <c r="B178" s="37">
        <v>45825</v>
      </c>
      <c r="C178" t="s" s="38">
        <v>16</v>
      </c>
      <c r="D178" t="s" s="38">
        <v>17</v>
      </c>
      <c r="E178" t="s" s="38">
        <v>18</v>
      </c>
      <c r="F178" s="39">
        <v>20</v>
      </c>
      <c r="G178" s="40">
        <v>34.32</v>
      </c>
      <c r="H178" t="s" s="38">
        <v>19</v>
      </c>
      <c r="I178" s="41" cm="1">
        <f t="array" ref="I178">IF(F178=0,"",G178/F178)</f>
        <v>1.716</v>
      </c>
      <c r="J178" t="str" s="42" cm="1">
        <f t="array" ref="J178">CHOOSE(MIN(6,INT(F178/20)+1),"0–20","20–40","40–60","60–80","80–100","100–120")</f>
        <v>20–40</v>
      </c>
      <c r="K178" t="str" s="42" cm="1">
        <f t="array" ref="K178">CHOOSE(MATCH(F178,{0;20;40;60;80;100}),"0–20","20–40","40–60","60–80","80–100","100–120")</f>
        <v>20–40</v>
      </c>
      <c r="L178" t="b" s="43" cm="1">
        <f t="array" ref="L178">ISBLANK(F178)</f>
        <v>0</v>
      </c>
    </row>
    <row r="179" ht="18.5" customHeight="1">
      <c r="A179" t="s" s="44">
        <v>222</v>
      </c>
      <c r="B179" s="45">
        <v>45827</v>
      </c>
      <c r="C179" t="s" s="46">
        <v>30</v>
      </c>
      <c r="D179" t="s" s="46">
        <v>31</v>
      </c>
      <c r="E179" t="s" s="46">
        <v>32</v>
      </c>
      <c r="F179" s="47">
        <v>28</v>
      </c>
      <c r="G179" s="48">
        <v>37.84</v>
      </c>
      <c r="H179" t="s" s="49">
        <v>19</v>
      </c>
      <c r="I179" s="50" cm="1">
        <f t="array" ref="I179">IF(F179=0,"",G179/F179)</f>
        <v>1.35142857142857</v>
      </c>
      <c r="J179" t="str" s="42" cm="1">
        <f t="array" ref="J179">CHOOSE(MIN(6,INT(F179/20)+1),"0–20","20–40","40–60","60–80","80–100","100–120")</f>
        <v>20–40</v>
      </c>
      <c r="K179" t="str" s="42" cm="1">
        <f t="array" ref="K179">CHOOSE(MATCH(F179,{0;20;40;60;80;100}),"0–20","20–40","40–60","60–80","80–100","100–120")</f>
        <v>20–40</v>
      </c>
      <c r="L179" t="b" s="43" cm="1">
        <f t="array" ref="L179">ISBLANK(F179)</f>
        <v>0</v>
      </c>
    </row>
    <row r="180" ht="18.5" customHeight="1">
      <c r="A180" t="s" s="36">
        <v>223</v>
      </c>
      <c r="B180" s="37">
        <v>45828</v>
      </c>
      <c r="C180" t="s" s="38">
        <v>16</v>
      </c>
      <c r="D180" t="s" s="38">
        <v>17</v>
      </c>
      <c r="E180" t="s" s="38">
        <v>65</v>
      </c>
      <c r="F180" s="39">
        <v>44</v>
      </c>
      <c r="G180" s="40">
        <v>68.06</v>
      </c>
      <c r="H180" t="s" s="38">
        <v>19</v>
      </c>
      <c r="I180" s="41" cm="1">
        <f t="array" ref="I180">IF(F180=0,"",G180/F180)</f>
        <v>1.54681818181818</v>
      </c>
      <c r="J180" t="str" s="42" cm="1">
        <f t="array" ref="J180">CHOOSE(MIN(6,INT(F180/20)+1),"0–20","20–40","40–60","60–80","80–100","100–120")</f>
        <v>40–60</v>
      </c>
      <c r="K180" t="str" s="42" cm="1">
        <f t="array" ref="K180">CHOOSE(MATCH(F180,{0;20;40;60;80;100}),"0–20","20–40","40–60","60–80","80–100","100–120")</f>
        <v>40–60</v>
      </c>
      <c r="L180" t="b" s="43" cm="1">
        <f t="array" ref="L180">ISBLANK(F180)</f>
        <v>0</v>
      </c>
    </row>
    <row r="181" ht="18.5" customHeight="1">
      <c r="A181" t="s" s="44">
        <v>224</v>
      </c>
      <c r="B181" s="45">
        <v>45828</v>
      </c>
      <c r="C181" t="s" s="46">
        <v>26</v>
      </c>
      <c r="D181" t="s" s="46">
        <v>38</v>
      </c>
      <c r="E181" t="s" s="46">
        <v>28</v>
      </c>
      <c r="F181" s="47">
        <v>26</v>
      </c>
      <c r="G181" s="48">
        <v>44.24</v>
      </c>
      <c r="H181" t="s" s="49">
        <v>19</v>
      </c>
      <c r="I181" s="50" cm="1">
        <f t="array" ref="I181">IF(F181=0,"",G181/F181)</f>
        <v>1.70153846153846</v>
      </c>
      <c r="J181" t="str" s="42" cm="1">
        <f t="array" ref="J181">CHOOSE(MIN(6,INT(F181/20)+1),"0–20","20–40","40–60","60–80","80–100","100–120")</f>
        <v>20–40</v>
      </c>
      <c r="K181" t="str" s="42" cm="1">
        <f t="array" ref="K181">CHOOSE(MATCH(F181,{0;20;40;60;80;100}),"0–20","20–40","40–60","60–80","80–100","100–120")</f>
        <v>20–40</v>
      </c>
      <c r="L181" t="b" s="43" cm="1">
        <f t="array" ref="L181">ISBLANK(F181)</f>
        <v>0</v>
      </c>
    </row>
    <row r="182" ht="18.5" customHeight="1">
      <c r="A182" t="s" s="36">
        <v>225</v>
      </c>
      <c r="B182" s="37">
        <v>45830</v>
      </c>
      <c r="C182" t="s" s="38">
        <v>16</v>
      </c>
      <c r="D182" t="s" s="38">
        <v>63</v>
      </c>
      <c r="E182" t="s" s="38">
        <v>36</v>
      </c>
      <c r="F182" s="39">
        <v>15</v>
      </c>
      <c r="G182" s="40">
        <v>25.27</v>
      </c>
      <c r="H182" t="s" s="38">
        <v>19</v>
      </c>
      <c r="I182" s="41" cm="1">
        <f t="array" ref="I182">IF(F182=0,"",G182/F182)</f>
        <v>1.68466666666667</v>
      </c>
      <c r="J182" t="str" s="42" cm="1">
        <f t="array" ref="J182">CHOOSE(MIN(6,INT(F182/20)+1),"0–20","20–40","40–60","60–80","80–100","100–120")</f>
        <v>0–20</v>
      </c>
      <c r="K182" t="str" s="42" cm="1">
        <f t="array" ref="K182">CHOOSE(MATCH(F182,{0;20;40;60;80;100}),"0–20","20–40","40–60","60–80","80–100","100–120")</f>
        <v>0–20</v>
      </c>
      <c r="L182" t="b" s="43" cm="1">
        <f t="array" ref="L182">ISBLANK(F182)</f>
        <v>0</v>
      </c>
    </row>
    <row r="183" ht="18.5" customHeight="1">
      <c r="A183" t="s" s="44">
        <v>226</v>
      </c>
      <c r="B183" s="45">
        <v>45832</v>
      </c>
      <c r="C183" t="s" s="46">
        <v>26</v>
      </c>
      <c r="D183" t="s" s="46">
        <v>38</v>
      </c>
      <c r="E183" t="s" s="46">
        <v>39</v>
      </c>
      <c r="F183" s="47">
        <v>46</v>
      </c>
      <c r="G183" s="48">
        <v>68.29000000000001</v>
      </c>
      <c r="H183" t="s" s="49">
        <v>19</v>
      </c>
      <c r="I183" s="50" cm="1">
        <f t="array" ref="I183">IF(F183=0,"",G183/F183)</f>
        <v>1.4845652173913</v>
      </c>
      <c r="J183" t="str" s="42" cm="1">
        <f t="array" ref="J183">CHOOSE(MIN(6,INT(F183/20)+1),"0–20","20–40","40–60","60–80","80–100","100–120")</f>
        <v>40–60</v>
      </c>
      <c r="K183" t="str" s="42" cm="1">
        <f t="array" ref="K183">CHOOSE(MATCH(F183,{0;20;40;60;80;100}),"0–20","20–40","40–60","60–80","80–100","100–120")</f>
        <v>40–60</v>
      </c>
      <c r="L183" t="b" s="43" cm="1">
        <f t="array" ref="L183">ISBLANK(F183)</f>
        <v>0</v>
      </c>
    </row>
    <row r="184" ht="18.5" customHeight="1">
      <c r="A184" t="s" s="36">
        <v>227</v>
      </c>
      <c r="B184" s="37">
        <v>45833</v>
      </c>
      <c r="C184" t="s" s="38">
        <v>21</v>
      </c>
      <c r="D184" t="s" s="38">
        <v>51</v>
      </c>
      <c r="E184" t="s" s="38">
        <v>52</v>
      </c>
      <c r="F184" s="39">
        <v>19</v>
      </c>
      <c r="G184" s="40">
        <v>22.51</v>
      </c>
      <c r="H184" t="s" s="38">
        <v>19</v>
      </c>
      <c r="I184" s="41" cm="1">
        <f t="array" ref="I184">IF(F184=0,"",G184/F184)</f>
        <v>1.18473684210526</v>
      </c>
      <c r="J184" t="str" s="42" cm="1">
        <f t="array" ref="J184">CHOOSE(MIN(6,INT(F184/20)+1),"0–20","20–40","40–60","60–80","80–100","100–120")</f>
        <v>0–20</v>
      </c>
      <c r="K184" t="str" s="42" cm="1">
        <f t="array" ref="K184">CHOOSE(MATCH(F184,{0;20;40;60;80;100}),"0–20","20–40","40–60","60–80","80–100","100–120")</f>
        <v>0–20</v>
      </c>
      <c r="L184" t="b" s="43" cm="1">
        <f t="array" ref="L184">ISBLANK(F184)</f>
        <v>0</v>
      </c>
    </row>
    <row r="185" ht="18.5" customHeight="1">
      <c r="A185" t="s" s="44">
        <v>228</v>
      </c>
      <c r="B185" s="45">
        <v>45834</v>
      </c>
      <c r="C185" t="s" s="46">
        <v>30</v>
      </c>
      <c r="D185" t="s" s="46">
        <v>42</v>
      </c>
      <c r="E185" t="s" s="46">
        <v>43</v>
      </c>
      <c r="F185" s="47">
        <v>31</v>
      </c>
      <c r="G185" s="48">
        <v>37.75</v>
      </c>
      <c r="H185" t="s" s="49">
        <v>19</v>
      </c>
      <c r="I185" s="50" cm="1">
        <f t="array" ref="I185">IF(F185=0,"",G185/F185)</f>
        <v>1.21774193548387</v>
      </c>
      <c r="J185" t="str" s="42" cm="1">
        <f t="array" ref="J185">CHOOSE(MIN(6,INT(F185/20)+1),"0–20","20–40","40–60","60–80","80–100","100–120")</f>
        <v>20–40</v>
      </c>
      <c r="K185" t="str" s="42" cm="1">
        <f t="array" ref="K185">CHOOSE(MATCH(F185,{0;20;40;60;80;100}),"0–20","20–40","40–60","60–80","80–100","100–120")</f>
        <v>20–40</v>
      </c>
      <c r="L185" t="b" s="43" cm="1">
        <f t="array" ref="L185">ISBLANK(F185)</f>
        <v>0</v>
      </c>
    </row>
    <row r="186" ht="18.5" customHeight="1">
      <c r="A186" t="s" s="36">
        <v>229</v>
      </c>
      <c r="B186" s="37">
        <v>45834</v>
      </c>
      <c r="C186" t="s" s="38">
        <v>21</v>
      </c>
      <c r="D186" t="s" s="38">
        <v>51</v>
      </c>
      <c r="E186" t="s" s="38">
        <v>23</v>
      </c>
      <c r="F186" s="39">
        <v>16</v>
      </c>
      <c r="G186" s="40">
        <v>16.9</v>
      </c>
      <c r="H186" t="s" s="38">
        <v>19</v>
      </c>
      <c r="I186" s="41" cm="1">
        <f t="array" ref="I186">IF(F186=0,"",G186/F186)</f>
        <v>1.05625</v>
      </c>
      <c r="J186" t="str" s="42" cm="1">
        <f t="array" ref="J186">CHOOSE(MIN(6,INT(F186/20)+1),"0–20","20–40","40–60","60–80","80–100","100–120")</f>
        <v>0–20</v>
      </c>
      <c r="K186" t="str" s="42" cm="1">
        <f t="array" ref="K186">CHOOSE(MATCH(F186,{0;20;40;60;80;100}),"0–20","20–40","40–60","60–80","80–100","100–120")</f>
        <v>0–20</v>
      </c>
      <c r="L186" t="b" s="43" cm="1">
        <f t="array" ref="L186">ISBLANK(F186)</f>
        <v>0</v>
      </c>
    </row>
    <row r="187" ht="18.5" customHeight="1">
      <c r="A187" t="s" s="44">
        <v>230</v>
      </c>
      <c r="B187" s="45">
        <v>45835</v>
      </c>
      <c r="C187" t="s" s="46">
        <v>21</v>
      </c>
      <c r="D187" t="s" s="46">
        <v>22</v>
      </c>
      <c r="E187" t="s" s="46">
        <v>32</v>
      </c>
      <c r="F187" s="47">
        <v>26</v>
      </c>
      <c r="G187" s="48">
        <v>27.53</v>
      </c>
      <c r="H187" t="s" s="49">
        <v>19</v>
      </c>
      <c r="I187" s="50" cm="1">
        <f t="array" ref="I187">IF(F187=0,"",G187/F187)</f>
        <v>1.05884615384615</v>
      </c>
      <c r="J187" t="str" s="42" cm="1">
        <f t="array" ref="J187">CHOOSE(MIN(6,INT(F187/20)+1),"0–20","20–40","40–60","60–80","80–100","100–120")</f>
        <v>20–40</v>
      </c>
      <c r="K187" t="str" s="42" cm="1">
        <f t="array" ref="K187">CHOOSE(MATCH(F187,{0;20;40;60;80;100}),"0–20","20–40","40–60","60–80","80–100","100–120")</f>
        <v>20–40</v>
      </c>
      <c r="L187" t="b" s="43" cm="1">
        <f t="array" ref="L187">ISBLANK(F187)</f>
        <v>0</v>
      </c>
    </row>
    <row r="188" ht="18.5" customHeight="1">
      <c r="A188" t="s" s="36">
        <v>231</v>
      </c>
      <c r="B188" s="37">
        <v>45836</v>
      </c>
      <c r="C188" t="s" s="38">
        <v>26</v>
      </c>
      <c r="D188" t="s" s="38">
        <v>27</v>
      </c>
      <c r="E188" t="s" s="38">
        <v>28</v>
      </c>
      <c r="F188" s="39">
        <v>35</v>
      </c>
      <c r="G188" s="40">
        <v>50.35</v>
      </c>
      <c r="H188" t="s" s="38">
        <v>19</v>
      </c>
      <c r="I188" s="41" cm="1">
        <f t="array" ref="I188">IF(F188=0,"",G188/F188)</f>
        <v>1.43857142857143</v>
      </c>
      <c r="J188" t="str" s="42" cm="1">
        <f t="array" ref="J188">CHOOSE(MIN(6,INT(F188/20)+1),"0–20","20–40","40–60","60–80","80–100","100–120")</f>
        <v>20–40</v>
      </c>
      <c r="K188" t="str" s="42" cm="1">
        <f t="array" ref="K188">CHOOSE(MATCH(F188,{0;20;40;60;80;100}),"0–20","20–40","40–60","60–80","80–100","100–120")</f>
        <v>20–40</v>
      </c>
      <c r="L188" t="b" s="43" cm="1">
        <f t="array" ref="L188">ISBLANK(F188)</f>
        <v>0</v>
      </c>
    </row>
    <row r="189" ht="18.5" customHeight="1">
      <c r="A189" t="s" s="44">
        <v>232</v>
      </c>
      <c r="B189" s="45">
        <v>45837</v>
      </c>
      <c r="C189" t="s" s="46">
        <v>30</v>
      </c>
      <c r="D189" t="s" s="46">
        <v>31</v>
      </c>
      <c r="E189" t="s" s="46">
        <v>43</v>
      </c>
      <c r="F189" s="47">
        <v>19</v>
      </c>
      <c r="G189" s="48">
        <v>26.21</v>
      </c>
      <c r="H189" t="s" s="49">
        <v>19</v>
      </c>
      <c r="I189" s="50" cm="1">
        <f t="array" ref="I189">IF(F189=0,"",G189/F189)</f>
        <v>1.37947368421053</v>
      </c>
      <c r="J189" t="str" s="42" cm="1">
        <f t="array" ref="J189">CHOOSE(MIN(6,INT(F189/20)+1),"0–20","20–40","40–60","60–80","80–100","100–120")</f>
        <v>0–20</v>
      </c>
      <c r="K189" t="str" s="42" cm="1">
        <f t="array" ref="K189">CHOOSE(MATCH(F189,{0;20;40;60;80;100}),"0–20","20–40","40–60","60–80","80–100","100–120")</f>
        <v>0–20</v>
      </c>
      <c r="L189" t="b" s="43" cm="1">
        <f t="array" ref="L189">ISBLANK(F189)</f>
        <v>0</v>
      </c>
    </row>
    <row r="190" ht="18.5" customHeight="1">
      <c r="A190" t="s" s="36">
        <v>233</v>
      </c>
      <c r="B190" s="37">
        <v>45838</v>
      </c>
      <c r="C190" t="s" s="38">
        <v>26</v>
      </c>
      <c r="D190" t="s" s="38">
        <v>38</v>
      </c>
      <c r="E190" t="s" s="38">
        <v>43</v>
      </c>
      <c r="F190" s="39">
        <v>35</v>
      </c>
      <c r="G190" s="40">
        <v>57.32</v>
      </c>
      <c r="H190" t="s" s="38">
        <v>19</v>
      </c>
      <c r="I190" s="41" cm="1">
        <f t="array" ref="I190">IF(F190=0,"",G190/F190)</f>
        <v>1.63771428571429</v>
      </c>
      <c r="J190" t="str" s="42" cm="1">
        <f t="array" ref="J190">CHOOSE(MIN(6,INT(F190/20)+1),"0–20","20–40","40–60","60–80","80–100","100–120")</f>
        <v>20–40</v>
      </c>
      <c r="K190" t="str" s="42" cm="1">
        <f t="array" ref="K190">CHOOSE(MATCH(F190,{0;20;40;60;80;100}),"0–20","20–40","40–60","60–80","80–100","100–120")</f>
        <v>20–40</v>
      </c>
      <c r="L190" t="b" s="43" cm="1">
        <f t="array" ref="L190">ISBLANK(F190)</f>
        <v>0</v>
      </c>
    </row>
    <row r="191" ht="18.5" customHeight="1">
      <c r="A191" t="s" s="44">
        <v>234</v>
      </c>
      <c r="B191" s="45">
        <v>45838</v>
      </c>
      <c r="C191" t="s" s="46">
        <v>34</v>
      </c>
      <c r="D191" t="s" s="46">
        <v>47</v>
      </c>
      <c r="E191" t="s" s="46">
        <v>48</v>
      </c>
      <c r="F191" s="47">
        <v>65</v>
      </c>
      <c r="G191" s="48">
        <v>124.07</v>
      </c>
      <c r="H191" t="s" s="49">
        <v>19</v>
      </c>
      <c r="I191" s="50" cm="1">
        <f t="array" ref="I191">IF(F191=0,"",G191/F191)</f>
        <v>1.90876923076923</v>
      </c>
      <c r="J191" t="str" s="42" cm="1">
        <f t="array" ref="J191">CHOOSE(MIN(6,INT(F191/20)+1),"0–20","20–40","40–60","60–80","80–100","100–120")</f>
        <v>60–80</v>
      </c>
      <c r="K191" t="str" s="42" cm="1">
        <f t="array" ref="K191">CHOOSE(MATCH(F191,{0;20;40;60;80;100}),"0–20","20–40","40–60","60–80","80–100","100–120")</f>
        <v>60–80</v>
      </c>
      <c r="L191" t="b" s="43" cm="1">
        <f t="array" ref="L191">ISBLANK(F191)</f>
        <v>0</v>
      </c>
    </row>
    <row r="192" ht="18.5" customHeight="1">
      <c r="A192" t="s" s="36">
        <v>235</v>
      </c>
      <c r="B192" s="37">
        <v>45839</v>
      </c>
      <c r="C192" t="s" s="38">
        <v>16</v>
      </c>
      <c r="D192" t="s" s="38">
        <v>17</v>
      </c>
      <c r="E192" t="s" s="38">
        <v>65</v>
      </c>
      <c r="F192" s="39">
        <v>5</v>
      </c>
      <c r="G192" s="40">
        <v>7.76</v>
      </c>
      <c r="H192" t="s" s="38">
        <v>19</v>
      </c>
      <c r="I192" s="41" cm="1">
        <f t="array" ref="I192">IF(F192=0,"",G192/F192)</f>
        <v>1.552</v>
      </c>
      <c r="J192" t="str" s="42" cm="1">
        <f t="array" ref="J192">CHOOSE(MIN(6,INT(F192/20)+1),"0–20","20–40","40–60","60–80","80–100","100–120")</f>
        <v>0–20</v>
      </c>
      <c r="K192" t="str" s="42" cm="1">
        <f t="array" ref="K192">CHOOSE(MATCH(F192,{0;20;40;60;80;100}),"0–20","20–40","40–60","60–80","80–100","100–120")</f>
        <v>0–20</v>
      </c>
      <c r="L192" t="b" s="43" cm="1">
        <f t="array" ref="L192">ISBLANK(F192)</f>
        <v>0</v>
      </c>
    </row>
    <row r="193" ht="18.5" customHeight="1">
      <c r="A193" t="s" s="44">
        <v>236</v>
      </c>
      <c r="B193" s="45">
        <v>45840</v>
      </c>
      <c r="C193" t="s" s="46">
        <v>21</v>
      </c>
      <c r="D193" t="s" s="46">
        <v>51</v>
      </c>
      <c r="E193" t="s" s="46">
        <v>52</v>
      </c>
      <c r="F193" s="47">
        <v>18</v>
      </c>
      <c r="G193" s="48">
        <v>19.64</v>
      </c>
      <c r="H193" t="s" s="49">
        <v>19</v>
      </c>
      <c r="I193" s="50" cm="1">
        <f t="array" ref="I193">IF(F193=0,"",G193/F193)</f>
        <v>1.09111111111111</v>
      </c>
      <c r="J193" t="str" s="42" cm="1">
        <f t="array" ref="J193">CHOOSE(MIN(6,INT(F193/20)+1),"0–20","20–40","40–60","60–80","80–100","100–120")</f>
        <v>0–20</v>
      </c>
      <c r="K193" t="str" s="42" cm="1">
        <f t="array" ref="K193">CHOOSE(MATCH(F193,{0;20;40;60;80;100}),"0–20","20–40","40–60","60–80","80–100","100–120")</f>
        <v>0–20</v>
      </c>
      <c r="L193" t="b" s="43" cm="1">
        <f t="array" ref="L193">ISBLANK(F193)</f>
        <v>0</v>
      </c>
    </row>
    <row r="194" ht="18.5" customHeight="1">
      <c r="A194" t="s" s="36">
        <v>237</v>
      </c>
      <c r="B194" s="37">
        <v>45843</v>
      </c>
      <c r="C194" t="s" s="38">
        <v>30</v>
      </c>
      <c r="D194" t="s" s="38">
        <v>42</v>
      </c>
      <c r="E194" t="s" s="38">
        <v>32</v>
      </c>
      <c r="F194" s="39">
        <v>19</v>
      </c>
      <c r="G194" s="40">
        <v>24.29</v>
      </c>
      <c r="H194" t="s" s="38">
        <v>19</v>
      </c>
      <c r="I194" s="41" cm="1">
        <f t="array" ref="I194">IF(F194=0,"",G194/F194)</f>
        <v>1.27842105263158</v>
      </c>
      <c r="J194" t="str" s="42" cm="1">
        <f t="array" ref="J194">CHOOSE(MIN(6,INT(F194/20)+1),"0–20","20–40","40–60","60–80","80–100","100–120")</f>
        <v>0–20</v>
      </c>
      <c r="K194" t="str" s="42" cm="1">
        <f t="array" ref="K194">CHOOSE(MATCH(F194,{0;20;40;60;80;100}),"0–20","20–40","40–60","60–80","80–100","100–120")</f>
        <v>0–20</v>
      </c>
      <c r="L194" t="b" s="43" cm="1">
        <f t="array" ref="L194">ISBLANK(F194)</f>
        <v>0</v>
      </c>
    </row>
    <row r="195" ht="18.5" customHeight="1">
      <c r="A195" t="s" s="44">
        <v>238</v>
      </c>
      <c r="B195" s="45">
        <v>45843</v>
      </c>
      <c r="C195" t="s" s="46">
        <v>21</v>
      </c>
      <c r="D195" t="s" s="46">
        <v>22</v>
      </c>
      <c r="E195" t="s" s="46">
        <v>32</v>
      </c>
      <c r="F195" s="47">
        <v>35</v>
      </c>
      <c r="G195" s="48">
        <v>43.76</v>
      </c>
      <c r="H195" t="s" s="49">
        <v>24</v>
      </c>
      <c r="I195" s="50" cm="1">
        <f t="array" ref="I195">IF(F195=0,"",G195/F195)</f>
        <v>1.25028571428571</v>
      </c>
      <c r="J195" t="str" s="42" cm="1">
        <f t="array" ref="J195">CHOOSE(MIN(6,INT(F195/20)+1),"0–20","20–40","40–60","60–80","80–100","100–120")</f>
        <v>20–40</v>
      </c>
      <c r="K195" t="str" s="42" cm="1">
        <f t="array" ref="K195">CHOOSE(MATCH(F195,{0;20;40;60;80;100}),"0–20","20–40","40–60","60–80","80–100","100–120")</f>
        <v>20–40</v>
      </c>
      <c r="L195" t="b" s="43" cm="1">
        <f t="array" ref="L195">ISBLANK(F195)</f>
        <v>0</v>
      </c>
    </row>
    <row r="196" ht="18.5" customHeight="1">
      <c r="A196" t="s" s="36">
        <v>239</v>
      </c>
      <c r="B196" s="37">
        <v>45843</v>
      </c>
      <c r="C196" t="s" s="38">
        <v>30</v>
      </c>
      <c r="D196" t="s" s="38">
        <v>31</v>
      </c>
      <c r="E196" t="s" s="38">
        <v>43</v>
      </c>
      <c r="F196" s="39">
        <v>29</v>
      </c>
      <c r="G196" s="40">
        <v>35.86</v>
      </c>
      <c r="H196" t="s" s="38">
        <v>19</v>
      </c>
      <c r="I196" s="41" cm="1">
        <f t="array" ref="I196">IF(F196=0,"",G196/F196)</f>
        <v>1.23655172413793</v>
      </c>
      <c r="J196" t="str" s="42" cm="1">
        <f t="array" ref="J196">CHOOSE(MIN(6,INT(F196/20)+1),"0–20","20–40","40–60","60–80","80–100","100–120")</f>
        <v>20–40</v>
      </c>
      <c r="K196" t="str" s="42" cm="1">
        <f t="array" ref="K196">CHOOSE(MATCH(F196,{0;20;40;60;80;100}),"0–20","20–40","40–60","60–80","80–100","100–120")</f>
        <v>20–40</v>
      </c>
      <c r="L196" t="b" s="43" cm="1">
        <f t="array" ref="L196">ISBLANK(F196)</f>
        <v>0</v>
      </c>
    </row>
    <row r="197" ht="18.5" customHeight="1">
      <c r="A197" t="s" s="44">
        <v>240</v>
      </c>
      <c r="B197" s="45">
        <v>45843</v>
      </c>
      <c r="C197" t="s" s="46">
        <v>34</v>
      </c>
      <c r="D197" t="s" s="46">
        <v>47</v>
      </c>
      <c r="E197" t="s" s="46">
        <v>36</v>
      </c>
      <c r="F197" s="47">
        <v>66</v>
      </c>
      <c r="G197" s="48">
        <v>108.72</v>
      </c>
      <c r="H197" t="s" s="49">
        <v>19</v>
      </c>
      <c r="I197" s="50" cm="1">
        <f t="array" ref="I197">IF(F197=0,"",G197/F197)</f>
        <v>1.64727272727273</v>
      </c>
      <c r="J197" t="str" s="42" cm="1">
        <f t="array" ref="J197">CHOOSE(MIN(6,INT(F197/20)+1),"0–20","20–40","40–60","60–80","80–100","100–120")</f>
        <v>60–80</v>
      </c>
      <c r="K197" t="str" s="42" cm="1">
        <f t="array" ref="K197">CHOOSE(MATCH(F197,{0;20;40;60;80;100}),"0–20","20–40","40–60","60–80","80–100","100–120")</f>
        <v>60–80</v>
      </c>
      <c r="L197" t="b" s="43" cm="1">
        <f t="array" ref="L197">ISBLANK(F197)</f>
        <v>0</v>
      </c>
    </row>
    <row r="198" ht="18.5" customHeight="1">
      <c r="A198" t="s" s="36">
        <v>241</v>
      </c>
      <c r="B198" s="37">
        <v>45846</v>
      </c>
      <c r="C198" t="s" s="38">
        <v>34</v>
      </c>
      <c r="D198" t="s" s="38">
        <v>47</v>
      </c>
      <c r="E198" t="s" s="38">
        <v>36</v>
      </c>
      <c r="F198" s="39">
        <v>54</v>
      </c>
      <c r="G198" s="40">
        <v>92.98</v>
      </c>
      <c r="H198" t="s" s="38">
        <v>19</v>
      </c>
      <c r="I198" s="41" cm="1">
        <f t="array" ref="I198">IF(F198=0,"",G198/F198)</f>
        <v>1.72185185185185</v>
      </c>
      <c r="J198" t="str" s="42" cm="1">
        <f t="array" ref="J198">CHOOSE(MIN(6,INT(F198/20)+1),"0–20","20–40","40–60","60–80","80–100","100–120")</f>
        <v>40–60</v>
      </c>
      <c r="K198" t="str" s="42" cm="1">
        <f t="array" ref="K198">CHOOSE(MATCH(F198,{0;20;40;60;80;100}),"0–20","20–40","40–60","60–80","80–100","100–120")</f>
        <v>40–60</v>
      </c>
      <c r="L198" t="b" s="43" cm="1">
        <f t="array" ref="L198">ISBLANK(F198)</f>
        <v>0</v>
      </c>
    </row>
    <row r="199" ht="18.5" customHeight="1">
      <c r="A199" t="s" s="44">
        <v>242</v>
      </c>
      <c r="B199" s="45">
        <v>45847</v>
      </c>
      <c r="C199" t="s" s="46">
        <v>30</v>
      </c>
      <c r="D199" t="s" s="46">
        <v>42</v>
      </c>
      <c r="E199" t="s" s="46">
        <v>70</v>
      </c>
      <c r="F199" s="47">
        <v>31</v>
      </c>
      <c r="G199" s="48">
        <v>41.84</v>
      </c>
      <c r="H199" t="s" s="49">
        <v>19</v>
      </c>
      <c r="I199" s="50" cm="1">
        <f t="array" ref="I199">IF(F199=0,"",G199/F199)</f>
        <v>1.34967741935484</v>
      </c>
      <c r="J199" t="str" s="42" cm="1">
        <f t="array" ref="J199">CHOOSE(MIN(6,INT(F199/20)+1),"0–20","20–40","40–60","60–80","80–100","100–120")</f>
        <v>20–40</v>
      </c>
      <c r="K199" t="str" s="42" cm="1">
        <f t="array" ref="K199">CHOOSE(MATCH(F199,{0;20;40;60;80;100}),"0–20","20–40","40–60","60–80","80–100","100–120")</f>
        <v>20–40</v>
      </c>
      <c r="L199" t="b" s="43" cm="1">
        <f t="array" ref="L199">ISBLANK(F199)</f>
        <v>0</v>
      </c>
    </row>
    <row r="200" ht="18.5" customHeight="1">
      <c r="A200" t="s" s="36">
        <v>243</v>
      </c>
      <c r="B200" s="37">
        <v>45847</v>
      </c>
      <c r="C200" t="s" s="38">
        <v>26</v>
      </c>
      <c r="D200" t="s" s="38">
        <v>45</v>
      </c>
      <c r="E200" t="s" s="38">
        <v>43</v>
      </c>
      <c r="F200" s="39">
        <v>11</v>
      </c>
      <c r="G200" s="40">
        <v>15.49</v>
      </c>
      <c r="H200" t="s" s="38">
        <v>19</v>
      </c>
      <c r="I200" s="41" cm="1">
        <f t="array" ref="I200">IF(F200=0,"",G200/F200)</f>
        <v>1.40818181818182</v>
      </c>
      <c r="J200" t="str" s="42" cm="1">
        <f t="array" ref="J200">CHOOSE(MIN(6,INT(F200/20)+1),"0–20","20–40","40–60","60–80","80–100","100–120")</f>
        <v>0–20</v>
      </c>
      <c r="K200" t="str" s="42" cm="1">
        <f t="array" ref="K200">CHOOSE(MATCH(F200,{0;20;40;60;80;100}),"0–20","20–40","40–60","60–80","80–100","100–120")</f>
        <v>0–20</v>
      </c>
      <c r="L200" t="b" s="43" cm="1">
        <f t="array" ref="L200">ISBLANK(F200)</f>
        <v>0</v>
      </c>
    </row>
    <row r="201" ht="18.5" customHeight="1">
      <c r="A201" t="s" s="44">
        <v>244</v>
      </c>
      <c r="B201" s="45">
        <v>45848</v>
      </c>
      <c r="C201" t="s" s="46">
        <v>21</v>
      </c>
      <c r="D201" t="s" s="46">
        <v>51</v>
      </c>
      <c r="E201" t="s" s="46">
        <v>52</v>
      </c>
      <c r="F201" s="47">
        <v>22</v>
      </c>
      <c r="G201" s="48">
        <v>27.57</v>
      </c>
      <c r="H201" t="s" s="49">
        <v>19</v>
      </c>
      <c r="I201" s="50" cm="1">
        <f t="array" ref="I201">IF(F201=0,"",G201/F201)</f>
        <v>1.25318181818182</v>
      </c>
      <c r="J201" t="str" s="42" cm="1">
        <f t="array" ref="J201">CHOOSE(MIN(6,INT(F201/20)+1),"0–20","20–40","40–60","60–80","80–100","100–120")</f>
        <v>20–40</v>
      </c>
      <c r="K201" t="str" s="42" cm="1">
        <f t="array" ref="K201">CHOOSE(MATCH(F201,{0;20;40;60;80;100}),"0–20","20–40","40–60","60–80","80–100","100–120")</f>
        <v>20–40</v>
      </c>
      <c r="L201" t="b" s="43" cm="1">
        <f t="array" ref="L201">ISBLANK(F201)</f>
        <v>0</v>
      </c>
    </row>
    <row r="202" ht="18.5" customHeight="1">
      <c r="A202" t="s" s="36">
        <v>245</v>
      </c>
      <c r="B202" s="37">
        <v>45849</v>
      </c>
      <c r="C202" t="s" s="38">
        <v>26</v>
      </c>
      <c r="D202" t="s" s="38">
        <v>38</v>
      </c>
      <c r="E202" t="s" s="38">
        <v>39</v>
      </c>
      <c r="F202" s="39">
        <v>37</v>
      </c>
      <c r="G202" s="40">
        <v>51.32</v>
      </c>
      <c r="H202" t="s" s="38">
        <v>19</v>
      </c>
      <c r="I202" s="41" cm="1">
        <f t="array" ref="I202">IF(F202=0,"",G202/F202)</f>
        <v>1.38702702702703</v>
      </c>
      <c r="J202" t="str" s="42" cm="1">
        <f t="array" ref="J202">CHOOSE(MIN(6,INT(F202/20)+1),"0–20","20–40","40–60","60–80","80–100","100–120")</f>
        <v>20–40</v>
      </c>
      <c r="K202" t="str" s="42" cm="1">
        <f t="array" ref="K202">CHOOSE(MATCH(F202,{0;20;40;60;80;100}),"0–20","20–40","40–60","60–80","80–100","100–120")</f>
        <v>20–40</v>
      </c>
      <c r="L202" t="b" s="43" cm="1">
        <f t="array" ref="L202">ISBLANK(F202)</f>
        <v>0</v>
      </c>
    </row>
    <row r="203" ht="18.5" customHeight="1">
      <c r="A203" t="s" s="44">
        <v>246</v>
      </c>
      <c r="B203" s="45">
        <v>45849</v>
      </c>
      <c r="C203" t="s" s="46">
        <v>26</v>
      </c>
      <c r="D203" t="s" s="46">
        <v>38</v>
      </c>
      <c r="E203" t="s" s="46">
        <v>39</v>
      </c>
      <c r="F203" s="47">
        <v>38</v>
      </c>
      <c r="G203" s="48">
        <v>61.74</v>
      </c>
      <c r="H203" t="s" s="49">
        <v>19</v>
      </c>
      <c r="I203" s="50" cm="1">
        <f t="array" ref="I203">IF(F203=0,"",G203/F203)</f>
        <v>1.62473684210526</v>
      </c>
      <c r="J203" t="str" s="42" cm="1">
        <f t="array" ref="J203">CHOOSE(MIN(6,INT(F203/20)+1),"0–20","20–40","40–60","60–80","80–100","100–120")</f>
        <v>20–40</v>
      </c>
      <c r="K203" t="str" s="42" cm="1">
        <f t="array" ref="K203">CHOOSE(MATCH(F203,{0;20;40;60;80;100}),"0–20","20–40","40–60","60–80","80–100","100–120")</f>
        <v>20–40</v>
      </c>
      <c r="L203" t="b" s="43" cm="1">
        <f t="array" ref="L203">ISBLANK(F203)</f>
        <v>0</v>
      </c>
    </row>
    <row r="204" ht="18.5" customHeight="1">
      <c r="A204" t="s" s="36">
        <v>247</v>
      </c>
      <c r="B204" s="37">
        <v>45850</v>
      </c>
      <c r="C204" t="s" s="38">
        <v>34</v>
      </c>
      <c r="D204" t="s" s="38">
        <v>35</v>
      </c>
      <c r="E204" t="s" s="38">
        <v>36</v>
      </c>
      <c r="F204" s="39">
        <v>71</v>
      </c>
      <c r="G204" s="40">
        <v>139.66</v>
      </c>
      <c r="H204" t="s" s="38">
        <v>24</v>
      </c>
      <c r="I204" s="41" cm="1">
        <f t="array" ref="I204">IF(F204=0,"",G204/F204)</f>
        <v>1.96704225352113</v>
      </c>
      <c r="J204" t="str" s="42" cm="1">
        <f t="array" ref="J204">CHOOSE(MIN(6,INT(F204/20)+1),"0–20","20–40","40–60","60–80","80–100","100–120")</f>
        <v>60–80</v>
      </c>
      <c r="K204" t="str" s="42" cm="1">
        <f t="array" ref="K204">CHOOSE(MATCH(F204,{0;20;40;60;80;100}),"0–20","20–40","40–60","60–80","80–100","100–120")</f>
        <v>60–80</v>
      </c>
      <c r="L204" t="b" s="43" cm="1">
        <f t="array" ref="L204">ISBLANK(F204)</f>
        <v>0</v>
      </c>
    </row>
    <row r="205" ht="18.5" customHeight="1">
      <c r="A205" t="s" s="44">
        <v>248</v>
      </c>
      <c r="B205" s="45">
        <v>45852</v>
      </c>
      <c r="C205" t="s" s="46">
        <v>34</v>
      </c>
      <c r="D205" t="s" s="46">
        <v>47</v>
      </c>
      <c r="E205" t="s" s="46">
        <v>59</v>
      </c>
      <c r="F205" s="47">
        <v>63</v>
      </c>
      <c r="G205" s="48">
        <v>128.33</v>
      </c>
      <c r="H205" t="s" s="49">
        <v>19</v>
      </c>
      <c r="I205" s="50" cm="1">
        <f t="array" ref="I205">IF(F205=0,"",G205/F205)</f>
        <v>2.03698412698413</v>
      </c>
      <c r="J205" t="str" s="42" cm="1">
        <f t="array" ref="J205">CHOOSE(MIN(6,INT(F205/20)+1),"0–20","20–40","40–60","60–80","80–100","100–120")</f>
        <v>60–80</v>
      </c>
      <c r="K205" t="str" s="42" cm="1">
        <f t="array" ref="K205">CHOOSE(MATCH(F205,{0;20;40;60;80;100}),"0–20","20–40","40–60","60–80","80–100","100–120")</f>
        <v>60–80</v>
      </c>
      <c r="L205" t="b" s="43" cm="1">
        <f t="array" ref="L205">ISBLANK(F205)</f>
        <v>0</v>
      </c>
    </row>
    <row r="206" ht="18.5" customHeight="1">
      <c r="A206" t="s" s="36">
        <v>249</v>
      </c>
      <c r="B206" s="37">
        <v>45852</v>
      </c>
      <c r="C206" t="s" s="38">
        <v>26</v>
      </c>
      <c r="D206" t="s" s="38">
        <v>45</v>
      </c>
      <c r="E206" t="s" s="38">
        <v>39</v>
      </c>
      <c r="F206" s="39">
        <v>43</v>
      </c>
      <c r="G206" s="40">
        <v>70.13</v>
      </c>
      <c r="H206" t="s" s="38">
        <v>19</v>
      </c>
      <c r="I206" s="41" cm="1">
        <f t="array" ref="I206">IF(F206=0,"",G206/F206)</f>
        <v>1.63093023255814</v>
      </c>
      <c r="J206" t="str" s="42" cm="1">
        <f t="array" ref="J206">CHOOSE(MIN(6,INT(F206/20)+1),"0–20","20–40","40–60","60–80","80–100","100–120")</f>
        <v>40–60</v>
      </c>
      <c r="K206" t="str" s="42" cm="1">
        <f t="array" ref="K206">CHOOSE(MATCH(F206,{0;20;40;60;80;100}),"0–20","20–40","40–60","60–80","80–100","100–120")</f>
        <v>40–60</v>
      </c>
      <c r="L206" t="b" s="43" cm="1">
        <f t="array" ref="L206">ISBLANK(F206)</f>
        <v>0</v>
      </c>
    </row>
    <row r="207" ht="18.5" customHeight="1">
      <c r="A207" t="s" s="44">
        <v>250</v>
      </c>
      <c r="B207" s="45">
        <v>45852</v>
      </c>
      <c r="C207" t="s" s="46">
        <v>34</v>
      </c>
      <c r="D207" t="s" s="46">
        <v>35</v>
      </c>
      <c r="E207" t="s" s="46">
        <v>48</v>
      </c>
      <c r="F207" s="47">
        <v>48</v>
      </c>
      <c r="G207" s="48">
        <v>90.13</v>
      </c>
      <c r="H207" t="s" s="49">
        <v>19</v>
      </c>
      <c r="I207" s="50" cm="1">
        <f t="array" ref="I207">IF(F207=0,"",G207/F207)</f>
        <v>1.87770833333333</v>
      </c>
      <c r="J207" t="str" s="42" cm="1">
        <f t="array" ref="J207">CHOOSE(MIN(6,INT(F207/20)+1),"0–20","20–40","40–60","60–80","80–100","100–120")</f>
        <v>40–60</v>
      </c>
      <c r="K207" t="str" s="42" cm="1">
        <f t="array" ref="K207">CHOOSE(MATCH(F207,{0;20;40;60;80;100}),"0–20","20–40","40–60","60–80","80–100","100–120")</f>
        <v>40–60</v>
      </c>
      <c r="L207" t="b" s="43" cm="1">
        <f t="array" ref="L207">ISBLANK(F207)</f>
        <v>0</v>
      </c>
    </row>
    <row r="208" ht="18.5" customHeight="1">
      <c r="A208" t="s" s="36">
        <v>251</v>
      </c>
      <c r="B208" s="37">
        <v>45853</v>
      </c>
      <c r="C208" t="s" s="38">
        <v>30</v>
      </c>
      <c r="D208" t="s" s="38">
        <v>31</v>
      </c>
      <c r="E208" t="s" s="38">
        <v>43</v>
      </c>
      <c r="F208" s="39">
        <v>25</v>
      </c>
      <c r="G208" s="40">
        <v>34.07</v>
      </c>
      <c r="H208" t="s" s="38">
        <v>19</v>
      </c>
      <c r="I208" s="41" cm="1">
        <f t="array" ref="I208">IF(F208=0,"",G208/F208)</f>
        <v>1.3628</v>
      </c>
      <c r="J208" t="str" s="42" cm="1">
        <f t="array" ref="J208">CHOOSE(MIN(6,INT(F208/20)+1),"0–20","20–40","40–60","60–80","80–100","100–120")</f>
        <v>20–40</v>
      </c>
      <c r="K208" t="str" s="42" cm="1">
        <f t="array" ref="K208">CHOOSE(MATCH(F208,{0;20;40;60;80;100}),"0–20","20–40","40–60","60–80","80–100","100–120")</f>
        <v>20–40</v>
      </c>
      <c r="L208" t="b" s="43" cm="1">
        <f t="array" ref="L208">ISBLANK(F208)</f>
        <v>0</v>
      </c>
    </row>
    <row r="209" ht="18.5" customHeight="1">
      <c r="A209" t="s" s="44">
        <v>252</v>
      </c>
      <c r="B209" s="45">
        <v>45853</v>
      </c>
      <c r="C209" t="s" s="46">
        <v>26</v>
      </c>
      <c r="D209" t="s" s="46">
        <v>27</v>
      </c>
      <c r="E209" t="s" s="46">
        <v>43</v>
      </c>
      <c r="F209" s="47">
        <v>41</v>
      </c>
      <c r="G209" s="48">
        <v>70.43000000000001</v>
      </c>
      <c r="H209" t="s" s="49">
        <v>19</v>
      </c>
      <c r="I209" s="50" cm="1">
        <f t="array" ref="I209">IF(F209=0,"",G209/F209)</f>
        <v>1.71780487804878</v>
      </c>
      <c r="J209" t="str" s="42" cm="1">
        <f t="array" ref="J209">CHOOSE(MIN(6,INT(F209/20)+1),"0–20","20–40","40–60","60–80","80–100","100–120")</f>
        <v>40–60</v>
      </c>
      <c r="K209" t="str" s="42" cm="1">
        <f t="array" ref="K209">CHOOSE(MATCH(F209,{0;20;40;60;80;100}),"0–20","20–40","40–60","60–80","80–100","100–120")</f>
        <v>40–60</v>
      </c>
      <c r="L209" t="b" s="43" cm="1">
        <f t="array" ref="L209">ISBLANK(F209)</f>
        <v>0</v>
      </c>
    </row>
    <row r="210" ht="18.5" customHeight="1">
      <c r="A210" t="s" s="36">
        <v>253</v>
      </c>
      <c r="B210" s="37">
        <v>45853</v>
      </c>
      <c r="C210" t="s" s="38">
        <v>30</v>
      </c>
      <c r="D210" t="s" s="38">
        <v>31</v>
      </c>
      <c r="E210" t="s" s="38">
        <v>43</v>
      </c>
      <c r="F210" s="39">
        <v>25</v>
      </c>
      <c r="G210" s="40">
        <v>29.21</v>
      </c>
      <c r="H210" t="s" s="38">
        <v>19</v>
      </c>
      <c r="I210" s="41" cm="1">
        <f t="array" ref="I210">IF(F210=0,"",G210/F210)</f>
        <v>1.1684</v>
      </c>
      <c r="J210" t="str" s="42" cm="1">
        <f t="array" ref="J210">CHOOSE(MIN(6,INT(F210/20)+1),"0–20","20–40","40–60","60–80","80–100","100–120")</f>
        <v>20–40</v>
      </c>
      <c r="K210" t="str" s="42" cm="1">
        <f t="array" ref="K210">CHOOSE(MATCH(F210,{0;20;40;60;80;100}),"0–20","20–40","40–60","60–80","80–100","100–120")</f>
        <v>20–40</v>
      </c>
      <c r="L210" t="b" s="43" cm="1">
        <f t="array" ref="L210">ISBLANK(F210)</f>
        <v>0</v>
      </c>
    </row>
    <row r="211" ht="18.5" customHeight="1">
      <c r="A211" t="s" s="44">
        <v>254</v>
      </c>
      <c r="B211" s="45">
        <v>45853</v>
      </c>
      <c r="C211" t="s" s="46">
        <v>21</v>
      </c>
      <c r="D211" t="s" s="46">
        <v>22</v>
      </c>
      <c r="E211" t="s" s="46">
        <v>32</v>
      </c>
      <c r="F211" s="47">
        <v>30</v>
      </c>
      <c r="G211" s="48">
        <v>35.27</v>
      </c>
      <c r="H211" t="s" s="49">
        <v>19</v>
      </c>
      <c r="I211" s="50" cm="1">
        <f t="array" ref="I211">IF(F211=0,"",G211/F211)</f>
        <v>1.17566666666667</v>
      </c>
      <c r="J211" t="str" s="42" cm="1">
        <f t="array" ref="J211">CHOOSE(MIN(6,INT(F211/20)+1),"0–20","20–40","40–60","60–80","80–100","100–120")</f>
        <v>20–40</v>
      </c>
      <c r="K211" t="str" s="42" cm="1">
        <f t="array" ref="K211">CHOOSE(MATCH(F211,{0;20;40;60;80;100}),"0–20","20–40","40–60","60–80","80–100","100–120")</f>
        <v>20–40</v>
      </c>
      <c r="L211" t="b" s="43" cm="1">
        <f t="array" ref="L211">ISBLANK(F211)</f>
        <v>0</v>
      </c>
    </row>
    <row r="212" ht="18.5" customHeight="1">
      <c r="A212" t="s" s="36">
        <v>255</v>
      </c>
      <c r="B212" s="37">
        <v>45853</v>
      </c>
      <c r="C212" t="s" s="38">
        <v>30</v>
      </c>
      <c r="D212" t="s" s="38">
        <v>31</v>
      </c>
      <c r="E212" t="s" s="38">
        <v>70</v>
      </c>
      <c r="F212" s="39">
        <v>48</v>
      </c>
      <c r="G212" s="40">
        <v>64.43000000000001</v>
      </c>
      <c r="H212" t="s" s="38">
        <v>24</v>
      </c>
      <c r="I212" s="41" cm="1">
        <f t="array" ref="I212">IF(F212=0,"",G212/F212)</f>
        <v>1.34229166666667</v>
      </c>
      <c r="J212" t="str" s="42" cm="1">
        <f t="array" ref="J212">CHOOSE(MIN(6,INT(F212/20)+1),"0–20","20–40","40–60","60–80","80–100","100–120")</f>
        <v>40–60</v>
      </c>
      <c r="K212" t="str" s="42" cm="1">
        <f t="array" ref="K212">CHOOSE(MATCH(F212,{0;20;40;60;80;100}),"0–20","20–40","40–60","60–80","80–100","100–120")</f>
        <v>40–60</v>
      </c>
      <c r="L212" t="b" s="43" cm="1">
        <f t="array" ref="L212">ISBLANK(F212)</f>
        <v>0</v>
      </c>
    </row>
    <row r="213" ht="18.5" customHeight="1">
      <c r="A213" t="s" s="44">
        <v>256</v>
      </c>
      <c r="B213" s="45">
        <v>45854</v>
      </c>
      <c r="C213" t="s" s="46">
        <v>16</v>
      </c>
      <c r="D213" t="s" s="46">
        <v>63</v>
      </c>
      <c r="E213" t="s" s="46">
        <v>36</v>
      </c>
      <c r="F213" s="47">
        <v>27</v>
      </c>
      <c r="G213" s="48">
        <v>43.36</v>
      </c>
      <c r="H213" t="s" s="49">
        <v>19</v>
      </c>
      <c r="I213" s="50" cm="1">
        <f t="array" ref="I213">IF(F213=0,"",G213/F213)</f>
        <v>1.60592592592593</v>
      </c>
      <c r="J213" t="str" s="42" cm="1">
        <f t="array" ref="J213">CHOOSE(MIN(6,INT(F213/20)+1),"0–20","20–40","40–60","60–80","80–100","100–120")</f>
        <v>20–40</v>
      </c>
      <c r="K213" t="str" s="42" cm="1">
        <f t="array" ref="K213">CHOOSE(MATCH(F213,{0;20;40;60;80;100}),"0–20","20–40","40–60","60–80","80–100","100–120")</f>
        <v>20–40</v>
      </c>
      <c r="L213" t="b" s="43" cm="1">
        <f t="array" ref="L213">ISBLANK(F213)</f>
        <v>0</v>
      </c>
    </row>
    <row r="214" ht="18.5" customHeight="1">
      <c r="A214" t="s" s="36">
        <v>257</v>
      </c>
      <c r="B214" s="37">
        <v>45854</v>
      </c>
      <c r="C214" t="s" s="38">
        <v>26</v>
      </c>
      <c r="D214" t="s" s="38">
        <v>27</v>
      </c>
      <c r="E214" t="s" s="38">
        <v>43</v>
      </c>
      <c r="F214" s="39">
        <v>35</v>
      </c>
      <c r="G214" s="40">
        <v>48.17</v>
      </c>
      <c r="H214" t="s" s="38">
        <v>19</v>
      </c>
      <c r="I214" s="41" cm="1">
        <f t="array" ref="I214">IF(F214=0,"",G214/F214)</f>
        <v>1.37628571428571</v>
      </c>
      <c r="J214" t="str" s="42" cm="1">
        <f t="array" ref="J214">CHOOSE(MIN(6,INT(F214/20)+1),"0–20","20–40","40–60","60–80","80–100","100–120")</f>
        <v>20–40</v>
      </c>
      <c r="K214" t="str" s="42" cm="1">
        <f t="array" ref="K214">CHOOSE(MATCH(F214,{0;20;40;60;80;100}),"0–20","20–40","40–60","60–80","80–100","100–120")</f>
        <v>20–40</v>
      </c>
      <c r="L214" t="b" s="43" cm="1">
        <f t="array" ref="L214">ISBLANK(F214)</f>
        <v>0</v>
      </c>
    </row>
    <row r="215" ht="18.5" customHeight="1">
      <c r="A215" t="s" s="44">
        <v>258</v>
      </c>
      <c r="B215" s="45">
        <v>45854</v>
      </c>
      <c r="C215" t="s" s="46">
        <v>30</v>
      </c>
      <c r="D215" t="s" s="46">
        <v>42</v>
      </c>
      <c r="E215" t="s" s="46">
        <v>70</v>
      </c>
      <c r="F215" s="47">
        <v>36</v>
      </c>
      <c r="G215" s="48">
        <v>40.91</v>
      </c>
      <c r="H215" t="s" s="49">
        <v>19</v>
      </c>
      <c r="I215" s="50" cm="1">
        <f t="array" ref="I215">IF(F215=0,"",G215/F215)</f>
        <v>1.13638888888889</v>
      </c>
      <c r="J215" t="str" s="42" cm="1">
        <f t="array" ref="J215">CHOOSE(MIN(6,INT(F215/20)+1),"0–20","20–40","40–60","60–80","80–100","100–120")</f>
        <v>20–40</v>
      </c>
      <c r="K215" t="str" s="42" cm="1">
        <f t="array" ref="K215">CHOOSE(MATCH(F215,{0;20;40;60;80;100}),"0–20","20–40","40–60","60–80","80–100","100–120")</f>
        <v>20–40</v>
      </c>
      <c r="L215" t="b" s="43" cm="1">
        <f t="array" ref="L215">ISBLANK(F215)</f>
        <v>0</v>
      </c>
    </row>
    <row r="216" ht="18.5" customHeight="1">
      <c r="A216" t="s" s="36">
        <v>259</v>
      </c>
      <c r="B216" s="37">
        <v>45854</v>
      </c>
      <c r="C216" t="s" s="38">
        <v>21</v>
      </c>
      <c r="D216" t="s" s="38">
        <v>51</v>
      </c>
      <c r="E216" t="s" s="38">
        <v>52</v>
      </c>
      <c r="F216" s="39">
        <v>26</v>
      </c>
      <c r="G216" s="40">
        <v>26.84</v>
      </c>
      <c r="H216" t="s" s="38">
        <v>19</v>
      </c>
      <c r="I216" s="41" cm="1">
        <f t="array" ref="I216">IF(F216=0,"",G216/F216)</f>
        <v>1.03230769230769</v>
      </c>
      <c r="J216" t="str" s="42" cm="1">
        <f t="array" ref="J216">CHOOSE(MIN(6,INT(F216/20)+1),"0–20","20–40","40–60","60–80","80–100","100–120")</f>
        <v>20–40</v>
      </c>
      <c r="K216" t="str" s="42" cm="1">
        <f t="array" ref="K216">CHOOSE(MATCH(F216,{0;20;40;60;80;100}),"0–20","20–40","40–60","60–80","80–100","100–120")</f>
        <v>20–40</v>
      </c>
      <c r="L216" t="b" s="43" cm="1">
        <f t="array" ref="L216">ISBLANK(F216)</f>
        <v>0</v>
      </c>
    </row>
    <row r="217" ht="18.5" customHeight="1">
      <c r="A217" t="s" s="44">
        <v>260</v>
      </c>
      <c r="B217" s="45">
        <v>45856</v>
      </c>
      <c r="C217" t="s" s="46">
        <v>26</v>
      </c>
      <c r="D217" t="s" s="46">
        <v>45</v>
      </c>
      <c r="E217" t="s" s="46">
        <v>43</v>
      </c>
      <c r="F217" s="47">
        <v>15</v>
      </c>
      <c r="G217" s="48">
        <v>23.89</v>
      </c>
      <c r="H217" t="s" s="49">
        <v>19</v>
      </c>
      <c r="I217" s="50" cm="1">
        <f t="array" ref="I217">IF(F217=0,"",G217/F217)</f>
        <v>1.59266666666667</v>
      </c>
      <c r="J217" t="str" s="42" cm="1">
        <f t="array" ref="J217">CHOOSE(MIN(6,INT(F217/20)+1),"0–20","20–40","40–60","60–80","80–100","100–120")</f>
        <v>0–20</v>
      </c>
      <c r="K217" t="str" s="42" cm="1">
        <f t="array" ref="K217">CHOOSE(MATCH(F217,{0;20;40;60;80;100}),"0–20","20–40","40–60","60–80","80–100","100–120")</f>
        <v>0–20</v>
      </c>
      <c r="L217" t="b" s="43" cm="1">
        <f t="array" ref="L217">ISBLANK(F217)</f>
        <v>0</v>
      </c>
    </row>
    <row r="218" ht="18.5" customHeight="1">
      <c r="A218" t="s" s="36">
        <v>261</v>
      </c>
      <c r="B218" s="37">
        <v>45857</v>
      </c>
      <c r="C218" t="s" s="38">
        <v>26</v>
      </c>
      <c r="D218" t="s" s="38">
        <v>27</v>
      </c>
      <c r="E218" t="s" s="38">
        <v>39</v>
      </c>
      <c r="F218" s="39">
        <v>31</v>
      </c>
      <c r="G218" s="40">
        <v>52.54</v>
      </c>
      <c r="H218" t="s" s="38">
        <v>19</v>
      </c>
      <c r="I218" s="41" cm="1">
        <f t="array" ref="I218">IF(F218=0,"",G218/F218)</f>
        <v>1.69483870967742</v>
      </c>
      <c r="J218" t="str" s="42" cm="1">
        <f t="array" ref="J218">CHOOSE(MIN(6,INT(F218/20)+1),"0–20","20–40","40–60","60–80","80–100","100–120")</f>
        <v>20–40</v>
      </c>
      <c r="K218" t="str" s="42" cm="1">
        <f t="array" ref="K218">CHOOSE(MATCH(F218,{0;20;40;60;80;100}),"0–20","20–40","40–60","60–80","80–100","100–120")</f>
        <v>20–40</v>
      </c>
      <c r="L218" t="b" s="43" cm="1">
        <f t="array" ref="L218">ISBLANK(F218)</f>
        <v>0</v>
      </c>
    </row>
    <row r="219" ht="18.5" customHeight="1">
      <c r="A219" t="s" s="44">
        <v>262</v>
      </c>
      <c r="B219" s="45">
        <v>45860</v>
      </c>
      <c r="C219" t="s" s="46">
        <v>21</v>
      </c>
      <c r="D219" t="s" s="46">
        <v>22</v>
      </c>
      <c r="E219" t="s" s="46">
        <v>32</v>
      </c>
      <c r="F219" s="47">
        <v>19</v>
      </c>
      <c r="G219" s="48">
        <v>21.74</v>
      </c>
      <c r="H219" t="s" s="49">
        <v>19</v>
      </c>
      <c r="I219" s="50" cm="1">
        <f t="array" ref="I219">IF(F219=0,"",G219/F219)</f>
        <v>1.14421052631579</v>
      </c>
      <c r="J219" t="str" s="42" cm="1">
        <f t="array" ref="J219">CHOOSE(MIN(6,INT(F219/20)+1),"0–20","20–40","40–60","60–80","80–100","100–120")</f>
        <v>0–20</v>
      </c>
      <c r="K219" t="str" s="42" cm="1">
        <f t="array" ref="K219">CHOOSE(MATCH(F219,{0;20;40;60;80;100}),"0–20","20–40","40–60","60–80","80–100","100–120")</f>
        <v>0–20</v>
      </c>
      <c r="L219" t="b" s="43" cm="1">
        <f t="array" ref="L219">ISBLANK(F219)</f>
        <v>0</v>
      </c>
    </row>
    <row r="220" ht="18.5" customHeight="1">
      <c r="A220" t="s" s="36">
        <v>263</v>
      </c>
      <c r="B220" s="37">
        <v>45860</v>
      </c>
      <c r="C220" t="s" s="38">
        <v>21</v>
      </c>
      <c r="D220" t="s" s="38">
        <v>51</v>
      </c>
      <c r="E220" t="s" s="38">
        <v>23</v>
      </c>
      <c r="F220" s="39">
        <v>39</v>
      </c>
      <c r="G220" s="40">
        <v>39.46</v>
      </c>
      <c r="H220" t="s" s="38">
        <v>24</v>
      </c>
      <c r="I220" s="41" cm="1">
        <f t="array" ref="I220">IF(F220=0,"",G220/F220)</f>
        <v>1.01179487179487</v>
      </c>
      <c r="J220" t="str" s="42" cm="1">
        <f t="array" ref="J220">CHOOSE(MIN(6,INT(F220/20)+1),"0–20","20–40","40–60","60–80","80–100","100–120")</f>
        <v>20–40</v>
      </c>
      <c r="K220" t="str" s="42" cm="1">
        <f t="array" ref="K220">CHOOSE(MATCH(F220,{0;20;40;60;80;100}),"0–20","20–40","40–60","60–80","80–100","100–120")</f>
        <v>20–40</v>
      </c>
      <c r="L220" t="b" s="43" cm="1">
        <f t="array" ref="L220">ISBLANK(F220)</f>
        <v>0</v>
      </c>
    </row>
    <row r="221" ht="18.5" customHeight="1">
      <c r="A221" t="s" s="44">
        <v>264</v>
      </c>
      <c r="B221" s="45">
        <v>45861</v>
      </c>
      <c r="C221" t="s" s="46">
        <v>21</v>
      </c>
      <c r="D221" t="s" s="46">
        <v>51</v>
      </c>
      <c r="E221" t="s" s="46">
        <v>23</v>
      </c>
      <c r="F221" s="47">
        <v>16</v>
      </c>
      <c r="G221" s="48">
        <v>15.92</v>
      </c>
      <c r="H221" t="s" s="49">
        <v>19</v>
      </c>
      <c r="I221" s="50" cm="1">
        <f t="array" ref="I221">IF(F221=0,"",G221/F221)</f>
        <v>0.995</v>
      </c>
      <c r="J221" t="str" s="42" cm="1">
        <f t="array" ref="J221">CHOOSE(MIN(6,INT(F221/20)+1),"0–20","20–40","40–60","60–80","80–100","100–120")</f>
        <v>0–20</v>
      </c>
      <c r="K221" t="str" s="42" cm="1">
        <f t="array" ref="K221">CHOOSE(MATCH(F221,{0;20;40;60;80;100}),"0–20","20–40","40–60","60–80","80–100","100–120")</f>
        <v>0–20</v>
      </c>
      <c r="L221" t="b" s="43" cm="1">
        <f t="array" ref="L221">ISBLANK(F221)</f>
        <v>0</v>
      </c>
    </row>
    <row r="222" ht="18.5" customHeight="1">
      <c r="A222" t="s" s="36">
        <v>265</v>
      </c>
      <c r="B222" s="37">
        <v>45861</v>
      </c>
      <c r="C222" t="s" s="38">
        <v>16</v>
      </c>
      <c r="D222" t="s" s="38">
        <v>63</v>
      </c>
      <c r="E222" t="s" s="38">
        <v>65</v>
      </c>
      <c r="F222" s="39">
        <v>25</v>
      </c>
      <c r="G222" s="40">
        <v>45.62</v>
      </c>
      <c r="H222" t="s" s="38">
        <v>19</v>
      </c>
      <c r="I222" s="41" cm="1">
        <f t="array" ref="I222">IF(F222=0,"",G222/F222)</f>
        <v>1.8248</v>
      </c>
      <c r="J222" t="str" s="42" cm="1">
        <f t="array" ref="J222">CHOOSE(MIN(6,INT(F222/20)+1),"0–20","20–40","40–60","60–80","80–100","100–120")</f>
        <v>20–40</v>
      </c>
      <c r="K222" t="str" s="42" cm="1">
        <f t="array" ref="K222">CHOOSE(MATCH(F222,{0;20;40;60;80;100}),"0–20","20–40","40–60","60–80","80–100","100–120")</f>
        <v>20–40</v>
      </c>
      <c r="L222" t="b" s="43" cm="1">
        <f t="array" ref="L222">ISBLANK(F222)</f>
        <v>0</v>
      </c>
    </row>
    <row r="223" ht="18.5" customHeight="1">
      <c r="A223" t="s" s="44">
        <v>266</v>
      </c>
      <c r="B223" s="45">
        <v>45861</v>
      </c>
      <c r="C223" t="s" s="46">
        <v>34</v>
      </c>
      <c r="D223" t="s" s="46">
        <v>47</v>
      </c>
      <c r="E223" t="s" s="46">
        <v>59</v>
      </c>
      <c r="F223" s="47">
        <v>36</v>
      </c>
      <c r="G223" s="48">
        <v>67.47</v>
      </c>
      <c r="H223" t="s" s="49">
        <v>19</v>
      </c>
      <c r="I223" s="50" cm="1">
        <f t="array" ref="I223">IF(F223=0,"",G223/F223)</f>
        <v>1.87416666666667</v>
      </c>
      <c r="J223" t="str" s="42" cm="1">
        <f t="array" ref="J223">CHOOSE(MIN(6,INT(F223/20)+1),"0–20","20–40","40–60","60–80","80–100","100–120")</f>
        <v>20–40</v>
      </c>
      <c r="K223" t="str" s="42" cm="1">
        <f t="array" ref="K223">CHOOSE(MATCH(F223,{0;20;40;60;80;100}),"0–20","20–40","40–60","60–80","80–100","100–120")</f>
        <v>20–40</v>
      </c>
      <c r="L223" t="b" s="43" cm="1">
        <f t="array" ref="L223">ISBLANK(F223)</f>
        <v>0</v>
      </c>
    </row>
    <row r="224" ht="18.5" customHeight="1">
      <c r="A224" t="s" s="36">
        <v>267</v>
      </c>
      <c r="B224" s="37">
        <v>45862</v>
      </c>
      <c r="C224" t="s" s="38">
        <v>16</v>
      </c>
      <c r="D224" t="s" s="38">
        <v>17</v>
      </c>
      <c r="E224" t="s" s="38">
        <v>18</v>
      </c>
      <c r="F224" s="39">
        <v>35</v>
      </c>
      <c r="G224" s="40">
        <v>64.03</v>
      </c>
      <c r="H224" t="s" s="38">
        <v>19</v>
      </c>
      <c r="I224" s="41" cm="1">
        <f t="array" ref="I224">IF(F224=0,"",G224/F224)</f>
        <v>1.82942857142857</v>
      </c>
      <c r="J224" t="str" s="42" cm="1">
        <f t="array" ref="J224">CHOOSE(MIN(6,INT(F224/20)+1),"0–20","20–40","40–60","60–80","80–100","100–120")</f>
        <v>20–40</v>
      </c>
      <c r="K224" t="str" s="42" cm="1">
        <f t="array" ref="K224">CHOOSE(MATCH(F224,{0;20;40;60;80;100}),"0–20","20–40","40–60","60–80","80–100","100–120")</f>
        <v>20–40</v>
      </c>
      <c r="L224" t="b" s="43" cm="1">
        <f t="array" ref="L224">ISBLANK(F224)</f>
        <v>0</v>
      </c>
    </row>
    <row r="225" ht="18.5" customHeight="1">
      <c r="A225" t="s" s="44">
        <v>268</v>
      </c>
      <c r="B225" s="45">
        <v>45863</v>
      </c>
      <c r="C225" t="s" s="46">
        <v>30</v>
      </c>
      <c r="D225" t="s" s="46">
        <v>31</v>
      </c>
      <c r="E225" t="s" s="46">
        <v>70</v>
      </c>
      <c r="F225" s="47">
        <v>27</v>
      </c>
      <c r="G225" s="48">
        <v>35.2</v>
      </c>
      <c r="H225" t="s" s="49">
        <v>19</v>
      </c>
      <c r="I225" s="50" cm="1">
        <f t="array" ref="I225">IF(F225=0,"",G225/F225)</f>
        <v>1.3037037037037</v>
      </c>
      <c r="J225" t="str" s="42" cm="1">
        <f t="array" ref="J225">CHOOSE(MIN(6,INT(F225/20)+1),"0–20","20–40","40–60","60–80","80–100","100–120")</f>
        <v>20–40</v>
      </c>
      <c r="K225" t="str" s="42" cm="1">
        <f t="array" ref="K225">CHOOSE(MATCH(F225,{0;20;40;60;80;100}),"0–20","20–40","40–60","60–80","80–100","100–120")</f>
        <v>20–40</v>
      </c>
      <c r="L225" t="b" s="43" cm="1">
        <f t="array" ref="L225">ISBLANK(F225)</f>
        <v>0</v>
      </c>
    </row>
    <row r="226" ht="18.5" customHeight="1">
      <c r="A226" t="s" s="36">
        <v>269</v>
      </c>
      <c r="B226" s="37">
        <v>45865</v>
      </c>
      <c r="C226" t="s" s="38">
        <v>16</v>
      </c>
      <c r="D226" t="s" s="38">
        <v>17</v>
      </c>
      <c r="E226" t="s" s="38">
        <v>65</v>
      </c>
      <c r="F226" s="39">
        <v>18</v>
      </c>
      <c r="G226" s="40">
        <v>29.74</v>
      </c>
      <c r="H226" t="s" s="38">
        <v>19</v>
      </c>
      <c r="I226" s="41" cm="1">
        <f t="array" ref="I226">IF(F226=0,"",G226/F226)</f>
        <v>1.65222222222222</v>
      </c>
      <c r="J226" t="str" s="42" cm="1">
        <f t="array" ref="J226">CHOOSE(MIN(6,INT(F226/20)+1),"0–20","20–40","40–60","60–80","80–100","100–120")</f>
        <v>0–20</v>
      </c>
      <c r="K226" t="str" s="42" cm="1">
        <f t="array" ref="K226">CHOOSE(MATCH(F226,{0;20;40;60;80;100}),"0–20","20–40","40–60","60–80","80–100","100–120")</f>
        <v>0–20</v>
      </c>
      <c r="L226" t="b" s="43" cm="1">
        <f t="array" ref="L226">ISBLANK(F226)</f>
        <v>0</v>
      </c>
    </row>
    <row r="227" ht="18.5" customHeight="1">
      <c r="A227" t="s" s="44">
        <v>270</v>
      </c>
      <c r="B227" s="45">
        <v>45865</v>
      </c>
      <c r="C227" t="s" s="46">
        <v>34</v>
      </c>
      <c r="D227" t="s" s="46">
        <v>47</v>
      </c>
      <c r="E227" t="s" s="46">
        <v>48</v>
      </c>
      <c r="F227" s="47">
        <v>60</v>
      </c>
      <c r="G227" s="48">
        <v>118.84</v>
      </c>
      <c r="H227" t="s" s="49">
        <v>19</v>
      </c>
      <c r="I227" s="50" cm="1">
        <f t="array" ref="I227">IF(F227=0,"",G227/F227)</f>
        <v>1.98066666666667</v>
      </c>
      <c r="J227" t="str" s="42" cm="1">
        <f t="array" ref="J227">CHOOSE(MIN(6,INT(F227/20)+1),"0–20","20–40","40–60","60–80","80–100","100–120")</f>
        <v>60–80</v>
      </c>
      <c r="K227" t="str" s="42" cm="1">
        <f t="array" ref="K227">CHOOSE(MATCH(F227,{0;20;40;60;80;100}),"0–20","20–40","40–60","60–80","80–100","100–120")</f>
        <v>60–80</v>
      </c>
      <c r="L227" t="b" s="43" cm="1">
        <f t="array" ref="L227">ISBLANK(F227)</f>
        <v>0</v>
      </c>
    </row>
    <row r="228" ht="18.5" customHeight="1">
      <c r="A228" t="s" s="36">
        <v>271</v>
      </c>
      <c r="B228" s="37">
        <v>45865</v>
      </c>
      <c r="C228" t="s" s="38">
        <v>16</v>
      </c>
      <c r="D228" t="s" s="38">
        <v>17</v>
      </c>
      <c r="E228" t="s" s="38">
        <v>65</v>
      </c>
      <c r="F228" s="39">
        <v>50</v>
      </c>
      <c r="G228" s="40">
        <v>77.90000000000001</v>
      </c>
      <c r="H228" t="s" s="38">
        <v>24</v>
      </c>
      <c r="I228" s="41" cm="1">
        <f t="array" ref="I228">IF(F228=0,"",G228/F228)</f>
        <v>1.558</v>
      </c>
      <c r="J228" t="str" s="42" cm="1">
        <f t="array" ref="J228">CHOOSE(MIN(6,INT(F228/20)+1),"0–20","20–40","40–60","60–80","80–100","100–120")</f>
        <v>40–60</v>
      </c>
      <c r="K228" t="str" s="42" cm="1">
        <f t="array" ref="K228">CHOOSE(MATCH(F228,{0;20;40;60;80;100}),"0–20","20–40","40–60","60–80","80–100","100–120")</f>
        <v>40–60</v>
      </c>
      <c r="L228" t="b" s="43" cm="1">
        <f t="array" ref="L228">ISBLANK(F228)</f>
        <v>0</v>
      </c>
    </row>
    <row r="229" ht="18.5" customHeight="1">
      <c r="A229" t="s" s="44">
        <v>272</v>
      </c>
      <c r="B229" s="45">
        <v>45867</v>
      </c>
      <c r="C229" t="s" s="46">
        <v>26</v>
      </c>
      <c r="D229" t="s" s="46">
        <v>27</v>
      </c>
      <c r="E229" t="s" s="46">
        <v>28</v>
      </c>
      <c r="F229" s="47">
        <v>43</v>
      </c>
      <c r="G229" s="48">
        <v>69.23999999999999</v>
      </c>
      <c r="H229" t="s" s="49">
        <v>19</v>
      </c>
      <c r="I229" s="50" cm="1">
        <f t="array" ref="I229">IF(F229=0,"",G229/F229)</f>
        <v>1.61023255813953</v>
      </c>
      <c r="J229" t="str" s="42" cm="1">
        <f t="array" ref="J229">CHOOSE(MIN(6,INT(F229/20)+1),"0–20","20–40","40–60","60–80","80–100","100–120")</f>
        <v>40–60</v>
      </c>
      <c r="K229" t="str" s="42" cm="1">
        <f t="array" ref="K229">CHOOSE(MATCH(F229,{0;20;40;60;80;100}),"0–20","20–40","40–60","60–80","80–100","100–120")</f>
        <v>40–60</v>
      </c>
      <c r="L229" t="b" s="43" cm="1">
        <f t="array" ref="L229">ISBLANK(F229)</f>
        <v>0</v>
      </c>
    </row>
    <row r="230" ht="18.5" customHeight="1">
      <c r="A230" t="s" s="36">
        <v>273</v>
      </c>
      <c r="B230" s="37">
        <v>45868</v>
      </c>
      <c r="C230" t="s" s="38">
        <v>30</v>
      </c>
      <c r="D230" t="s" s="38">
        <v>31</v>
      </c>
      <c r="E230" t="s" s="38">
        <v>43</v>
      </c>
      <c r="F230" s="39">
        <v>30</v>
      </c>
      <c r="G230" s="40">
        <v>38.95</v>
      </c>
      <c r="H230" t="s" s="38">
        <v>19</v>
      </c>
      <c r="I230" s="41" cm="1">
        <f t="array" ref="I230">IF(F230=0,"",G230/F230)</f>
        <v>1.29833333333333</v>
      </c>
      <c r="J230" t="str" s="42" cm="1">
        <f t="array" ref="J230">CHOOSE(MIN(6,INT(F230/20)+1),"0–20","20–40","40–60","60–80","80–100","100–120")</f>
        <v>20–40</v>
      </c>
      <c r="K230" t="str" s="42" cm="1">
        <f t="array" ref="K230">CHOOSE(MATCH(F230,{0;20;40;60;80;100}),"0–20","20–40","40–60","60–80","80–100","100–120")</f>
        <v>20–40</v>
      </c>
      <c r="L230" t="b" s="43" cm="1">
        <f t="array" ref="L230">ISBLANK(F230)</f>
        <v>0</v>
      </c>
    </row>
    <row r="231" ht="18.5" customHeight="1">
      <c r="A231" t="s" s="44">
        <v>274</v>
      </c>
      <c r="B231" s="45">
        <v>45871</v>
      </c>
      <c r="C231" t="s" s="46">
        <v>34</v>
      </c>
      <c r="D231" t="s" s="46">
        <v>35</v>
      </c>
      <c r="E231" t="s" s="46">
        <v>59</v>
      </c>
      <c r="F231" s="47">
        <v>7</v>
      </c>
      <c r="G231" s="48">
        <v>11.98</v>
      </c>
      <c r="H231" t="s" s="49">
        <v>19</v>
      </c>
      <c r="I231" s="50" cm="1">
        <f t="array" ref="I231">IF(F231=0,"",G231/F231)</f>
        <v>1.71142857142857</v>
      </c>
      <c r="J231" t="str" s="42" cm="1">
        <f t="array" ref="J231">CHOOSE(MIN(6,INT(F231/20)+1),"0–20","20–40","40–60","60–80","80–100","100–120")</f>
        <v>0–20</v>
      </c>
      <c r="K231" t="str" s="42" cm="1">
        <f t="array" ref="K231">CHOOSE(MATCH(F231,{0;20;40;60;80;100}),"0–20","20–40","40–60","60–80","80–100","100–120")</f>
        <v>0–20</v>
      </c>
      <c r="L231" t="b" s="43" cm="1">
        <f t="array" ref="L231">ISBLANK(F231)</f>
        <v>0</v>
      </c>
    </row>
    <row r="232" ht="18.5" customHeight="1">
      <c r="A232" t="s" s="36">
        <v>275</v>
      </c>
      <c r="B232" s="37">
        <v>45875</v>
      </c>
      <c r="C232" t="s" s="38">
        <v>30</v>
      </c>
      <c r="D232" t="s" s="38">
        <v>31</v>
      </c>
      <c r="E232" t="s" s="38">
        <v>43</v>
      </c>
      <c r="F232" s="39">
        <v>19</v>
      </c>
      <c r="G232" s="40">
        <v>23.11</v>
      </c>
      <c r="H232" t="s" s="38">
        <v>19</v>
      </c>
      <c r="I232" s="41" cm="1">
        <f t="array" ref="I232">IF(F232=0,"",G232/F232)</f>
        <v>1.21631578947368</v>
      </c>
      <c r="J232" t="str" s="42" cm="1">
        <f t="array" ref="J232">CHOOSE(MIN(6,INT(F232/20)+1),"0–20","20–40","40–60","60–80","80–100","100–120")</f>
        <v>0–20</v>
      </c>
      <c r="K232" t="str" s="42" cm="1">
        <f t="array" ref="K232">CHOOSE(MATCH(F232,{0;20;40;60;80;100}),"0–20","20–40","40–60","60–80","80–100","100–120")</f>
        <v>0–20</v>
      </c>
      <c r="L232" t="b" s="43" cm="1">
        <f t="array" ref="L232">ISBLANK(F232)</f>
        <v>0</v>
      </c>
    </row>
    <row r="233" ht="18.5" customHeight="1">
      <c r="A233" t="s" s="44">
        <v>276</v>
      </c>
      <c r="B233" s="45">
        <v>45877</v>
      </c>
      <c r="C233" t="s" s="46">
        <v>21</v>
      </c>
      <c r="D233" t="s" s="46">
        <v>51</v>
      </c>
      <c r="E233" t="s" s="46">
        <v>52</v>
      </c>
      <c r="F233" s="47">
        <v>34</v>
      </c>
      <c r="G233" s="48">
        <v>36.16</v>
      </c>
      <c r="H233" t="s" s="49">
        <v>24</v>
      </c>
      <c r="I233" s="50" cm="1">
        <f t="array" ref="I233">IF(F233=0,"",G233/F233)</f>
        <v>1.06352941176471</v>
      </c>
      <c r="J233" t="str" s="42" cm="1">
        <f t="array" ref="J233">CHOOSE(MIN(6,INT(F233/20)+1),"0–20","20–40","40–60","60–80","80–100","100–120")</f>
        <v>20–40</v>
      </c>
      <c r="K233" t="str" s="42" cm="1">
        <f t="array" ref="K233">CHOOSE(MATCH(F233,{0;20;40;60;80;100}),"0–20","20–40","40–60","60–80","80–100","100–120")</f>
        <v>20–40</v>
      </c>
      <c r="L233" t="b" s="43" cm="1">
        <f t="array" ref="L233">ISBLANK(F233)</f>
        <v>0</v>
      </c>
    </row>
    <row r="234" ht="18.5" customHeight="1">
      <c r="A234" t="s" s="36">
        <v>277</v>
      </c>
      <c r="B234" s="37">
        <v>45878</v>
      </c>
      <c r="C234" t="s" s="38">
        <v>21</v>
      </c>
      <c r="D234" t="s" s="38">
        <v>22</v>
      </c>
      <c r="E234" t="s" s="38">
        <v>23</v>
      </c>
      <c r="F234" s="39">
        <v>23</v>
      </c>
      <c r="G234" s="40">
        <v>23.42</v>
      </c>
      <c r="H234" t="s" s="38">
        <v>19</v>
      </c>
      <c r="I234" s="41" cm="1">
        <f t="array" ref="I234">IF(F234=0,"",G234/F234)</f>
        <v>1.01826086956522</v>
      </c>
      <c r="J234" t="str" s="42" cm="1">
        <f t="array" ref="J234">CHOOSE(MIN(6,INT(F234/20)+1),"0–20","20–40","40–60","60–80","80–100","100–120")</f>
        <v>20–40</v>
      </c>
      <c r="K234" t="str" s="42" cm="1">
        <f t="array" ref="K234">CHOOSE(MATCH(F234,{0;20;40;60;80;100}),"0–20","20–40","40–60","60–80","80–100","100–120")</f>
        <v>20–40</v>
      </c>
      <c r="L234" t="b" s="43" cm="1">
        <f t="array" ref="L234">ISBLANK(F234)</f>
        <v>0</v>
      </c>
    </row>
    <row r="235" ht="18.5" customHeight="1">
      <c r="A235" t="s" s="44">
        <v>278</v>
      </c>
      <c r="B235" s="45">
        <v>45882</v>
      </c>
      <c r="C235" t="s" s="46">
        <v>30</v>
      </c>
      <c r="D235" t="s" s="46">
        <v>31</v>
      </c>
      <c r="E235" t="s" s="46">
        <v>70</v>
      </c>
      <c r="F235" s="47">
        <v>23</v>
      </c>
      <c r="G235" s="48">
        <v>31.17</v>
      </c>
      <c r="H235" t="s" s="49">
        <v>19</v>
      </c>
      <c r="I235" s="50" cm="1">
        <f t="array" ref="I235">IF(F235=0,"",G235/F235)</f>
        <v>1.35521739130435</v>
      </c>
      <c r="J235" t="str" s="42" cm="1">
        <f t="array" ref="J235">CHOOSE(MIN(6,INT(F235/20)+1),"0–20","20–40","40–60","60–80","80–100","100–120")</f>
        <v>20–40</v>
      </c>
      <c r="K235" t="str" s="42" cm="1">
        <f t="array" ref="K235">CHOOSE(MATCH(F235,{0;20;40;60;80;100}),"0–20","20–40","40–60","60–80","80–100","100–120")</f>
        <v>20–40</v>
      </c>
      <c r="L235" t="b" s="43" cm="1">
        <f t="array" ref="L235">ISBLANK(F235)</f>
        <v>0</v>
      </c>
    </row>
    <row r="236" ht="18.5" customHeight="1">
      <c r="A236" t="s" s="36">
        <v>279</v>
      </c>
      <c r="B236" s="37">
        <v>45884</v>
      </c>
      <c r="C236" t="s" s="38">
        <v>16</v>
      </c>
      <c r="D236" t="s" s="38">
        <v>17</v>
      </c>
      <c r="E236" t="s" s="38">
        <v>65</v>
      </c>
      <c r="F236" s="39">
        <v>27</v>
      </c>
      <c r="G236" s="40">
        <v>43.7</v>
      </c>
      <c r="H236" t="s" s="38">
        <v>19</v>
      </c>
      <c r="I236" s="41" cm="1">
        <f t="array" ref="I236">IF(F236=0,"",G236/F236)</f>
        <v>1.61851851851852</v>
      </c>
      <c r="J236" t="str" s="42" cm="1">
        <f t="array" ref="J236">CHOOSE(MIN(6,INT(F236/20)+1),"0–20","20–40","40–60","60–80","80–100","100–120")</f>
        <v>20–40</v>
      </c>
      <c r="K236" t="str" s="42" cm="1">
        <f t="array" ref="K236">CHOOSE(MATCH(F236,{0;20;40;60;80;100}),"0–20","20–40","40–60","60–80","80–100","100–120")</f>
        <v>20–40</v>
      </c>
      <c r="L236" t="b" s="43" cm="1">
        <f t="array" ref="L236">ISBLANK(F236)</f>
        <v>0</v>
      </c>
    </row>
    <row r="237" ht="18.5" customHeight="1">
      <c r="A237" t="s" s="44">
        <v>280</v>
      </c>
      <c r="B237" s="45">
        <v>45884</v>
      </c>
      <c r="C237" t="s" s="46">
        <v>21</v>
      </c>
      <c r="D237" t="s" s="46">
        <v>22</v>
      </c>
      <c r="E237" t="s" s="46">
        <v>52</v>
      </c>
      <c r="F237" s="47">
        <v>13</v>
      </c>
      <c r="G237" s="48">
        <v>16.31</v>
      </c>
      <c r="H237" t="s" s="49">
        <v>19</v>
      </c>
      <c r="I237" s="50" cm="1">
        <f t="array" ref="I237">IF(F237=0,"",G237/F237)</f>
        <v>1.25461538461538</v>
      </c>
      <c r="J237" t="str" s="42" cm="1">
        <f t="array" ref="J237">CHOOSE(MIN(6,INT(F237/20)+1),"0–20","20–40","40–60","60–80","80–100","100–120")</f>
        <v>0–20</v>
      </c>
      <c r="K237" t="str" s="42" cm="1">
        <f t="array" ref="K237">CHOOSE(MATCH(F237,{0;20;40;60;80;100}),"0–20","20–40","40–60","60–80","80–100","100–120")</f>
        <v>0–20</v>
      </c>
      <c r="L237" t="b" s="43" cm="1">
        <f t="array" ref="L237">ISBLANK(F237)</f>
        <v>0</v>
      </c>
    </row>
    <row r="238" ht="18.5" customHeight="1">
      <c r="A238" t="s" s="36">
        <v>281</v>
      </c>
      <c r="B238" s="37">
        <v>45884</v>
      </c>
      <c r="C238" t="s" s="38">
        <v>16</v>
      </c>
      <c r="D238" t="s" s="38">
        <v>63</v>
      </c>
      <c r="E238" t="s" s="38">
        <v>36</v>
      </c>
      <c r="F238" s="39">
        <v>38</v>
      </c>
      <c r="G238" s="40">
        <v>67.3</v>
      </c>
      <c r="H238" t="s" s="38">
        <v>19</v>
      </c>
      <c r="I238" s="41" cm="1">
        <f t="array" ref="I238">IF(F238=0,"",G238/F238)</f>
        <v>1.77105263157895</v>
      </c>
      <c r="J238" t="str" s="42" cm="1">
        <f t="array" ref="J238">CHOOSE(MIN(6,INT(F238/20)+1),"0–20","20–40","40–60","60–80","80–100","100–120")</f>
        <v>20–40</v>
      </c>
      <c r="K238" t="str" s="42" cm="1">
        <f t="array" ref="K238">CHOOSE(MATCH(F238,{0;20;40;60;80;100}),"0–20","20–40","40–60","60–80","80–100","100–120")</f>
        <v>20–40</v>
      </c>
      <c r="L238" t="b" s="43" cm="1">
        <f t="array" ref="L238">ISBLANK(F238)</f>
        <v>0</v>
      </c>
    </row>
    <row r="239" ht="18.5" customHeight="1">
      <c r="A239" t="s" s="44">
        <v>282</v>
      </c>
      <c r="B239" s="45">
        <v>45887</v>
      </c>
      <c r="C239" t="s" s="46">
        <v>30</v>
      </c>
      <c r="D239" t="s" s="46">
        <v>42</v>
      </c>
      <c r="E239" t="s" s="46">
        <v>70</v>
      </c>
      <c r="F239" s="47">
        <v>5</v>
      </c>
      <c r="G239" s="48">
        <v>5.47</v>
      </c>
      <c r="H239" t="s" s="49">
        <v>19</v>
      </c>
      <c r="I239" s="50" cm="1">
        <f t="array" ref="I239">IF(F239=0,"",G239/F239)</f>
        <v>1.094</v>
      </c>
      <c r="J239" t="str" s="42" cm="1">
        <f t="array" ref="J239">CHOOSE(MIN(6,INT(F239/20)+1),"0–20","20–40","40–60","60–80","80–100","100–120")</f>
        <v>0–20</v>
      </c>
      <c r="K239" t="str" s="42" cm="1">
        <f t="array" ref="K239">CHOOSE(MATCH(F239,{0;20;40;60;80;100}),"0–20","20–40","40–60","60–80","80–100","100–120")</f>
        <v>0–20</v>
      </c>
      <c r="L239" t="b" s="43" cm="1">
        <f t="array" ref="L239">ISBLANK(F239)</f>
        <v>0</v>
      </c>
    </row>
    <row r="240" ht="18.5" customHeight="1">
      <c r="A240" t="s" s="36">
        <v>283</v>
      </c>
      <c r="B240" s="37">
        <v>45888</v>
      </c>
      <c r="C240" t="s" s="38">
        <v>21</v>
      </c>
      <c r="D240" t="s" s="38">
        <v>22</v>
      </c>
      <c r="E240" t="s" s="38">
        <v>32</v>
      </c>
      <c r="F240" s="39">
        <v>17</v>
      </c>
      <c r="G240" s="40">
        <v>18.68</v>
      </c>
      <c r="H240" t="s" s="38">
        <v>19</v>
      </c>
      <c r="I240" s="41" cm="1">
        <f t="array" ref="I240">IF(F240=0,"",G240/F240)</f>
        <v>1.09882352941176</v>
      </c>
      <c r="J240" t="str" s="42" cm="1">
        <f t="array" ref="J240">CHOOSE(MIN(6,INT(F240/20)+1),"0–20","20–40","40–60","60–80","80–100","100–120")</f>
        <v>0–20</v>
      </c>
      <c r="K240" t="str" s="42" cm="1">
        <f t="array" ref="K240">CHOOSE(MATCH(F240,{0;20;40;60;80;100}),"0–20","20–40","40–60","60–80","80–100","100–120")</f>
        <v>0–20</v>
      </c>
      <c r="L240" t="b" s="43" cm="1">
        <f t="array" ref="L240">ISBLANK(F240)</f>
        <v>0</v>
      </c>
    </row>
    <row r="241" ht="18.5" customHeight="1">
      <c r="A241" t="s" s="44">
        <v>284</v>
      </c>
      <c r="B241" s="45">
        <v>45888</v>
      </c>
      <c r="C241" t="s" s="46">
        <v>26</v>
      </c>
      <c r="D241" t="s" s="46">
        <v>38</v>
      </c>
      <c r="E241" t="s" s="46">
        <v>43</v>
      </c>
      <c r="F241" s="47">
        <v>44</v>
      </c>
      <c r="G241" s="48">
        <v>64.59</v>
      </c>
      <c r="H241" t="s" s="49">
        <v>19</v>
      </c>
      <c r="I241" s="50" cm="1">
        <f t="array" ref="I241">IF(F241=0,"",G241/F241)</f>
        <v>1.46795454545455</v>
      </c>
      <c r="J241" t="str" s="42" cm="1">
        <f t="array" ref="J241">CHOOSE(MIN(6,INT(F241/20)+1),"0–20","20–40","40–60","60–80","80–100","100–120")</f>
        <v>40–60</v>
      </c>
      <c r="K241" t="str" s="42" cm="1">
        <f t="array" ref="K241">CHOOSE(MATCH(F241,{0;20;40;60;80;100}),"0–20","20–40","40–60","60–80","80–100","100–120")</f>
        <v>40–60</v>
      </c>
      <c r="L241" t="b" s="43" cm="1">
        <f t="array" ref="L241">ISBLANK(F241)</f>
        <v>0</v>
      </c>
    </row>
    <row r="242" ht="18.5" customHeight="1">
      <c r="A242" t="s" s="36">
        <v>285</v>
      </c>
      <c r="B242" s="37">
        <v>45894</v>
      </c>
      <c r="C242" t="s" s="38">
        <v>30</v>
      </c>
      <c r="D242" t="s" s="38">
        <v>42</v>
      </c>
      <c r="E242" t="s" s="38">
        <v>70</v>
      </c>
      <c r="F242" s="39">
        <v>37</v>
      </c>
      <c r="G242" s="40">
        <v>41.71</v>
      </c>
      <c r="H242" t="s" s="38">
        <v>19</v>
      </c>
      <c r="I242" s="41" cm="1">
        <f t="array" ref="I242">IF(F242=0,"",G242/F242)</f>
        <v>1.1272972972973</v>
      </c>
      <c r="J242" t="str" s="42" cm="1">
        <f t="array" ref="J242">CHOOSE(MIN(6,INT(F242/20)+1),"0–20","20–40","40–60","60–80","80–100","100–120")</f>
        <v>20–40</v>
      </c>
      <c r="K242" t="str" s="42" cm="1">
        <f t="array" ref="K242">CHOOSE(MATCH(F242,{0;20;40;60;80;100}),"0–20","20–40","40–60","60–80","80–100","100–120")</f>
        <v>20–40</v>
      </c>
      <c r="L242" t="b" s="43" cm="1">
        <f t="array" ref="L242">ISBLANK(F242)</f>
        <v>0</v>
      </c>
    </row>
    <row r="243" ht="18.5" customHeight="1">
      <c r="A243" t="s" s="44">
        <v>286</v>
      </c>
      <c r="B243" s="45">
        <v>45894</v>
      </c>
      <c r="C243" t="s" s="46">
        <v>16</v>
      </c>
      <c r="D243" t="s" s="46">
        <v>17</v>
      </c>
      <c r="E243" t="s" s="46">
        <v>36</v>
      </c>
      <c r="F243" s="47">
        <v>51</v>
      </c>
      <c r="G243" s="48">
        <v>90.09999999999999</v>
      </c>
      <c r="H243" t="s" s="49">
        <v>24</v>
      </c>
      <c r="I243" s="50" cm="1">
        <f t="array" ref="I243">IF(F243=0,"",G243/F243)</f>
        <v>1.76666666666667</v>
      </c>
      <c r="J243" t="str" s="42" cm="1">
        <f t="array" ref="J243">CHOOSE(MIN(6,INT(F243/20)+1),"0–20","20–40","40–60","60–80","80–100","100–120")</f>
        <v>40–60</v>
      </c>
      <c r="K243" t="str" s="42" cm="1">
        <f t="array" ref="K243">CHOOSE(MATCH(F243,{0;20;40;60;80;100}),"0–20","20–40","40–60","60–80","80–100","100–120")</f>
        <v>40–60</v>
      </c>
      <c r="L243" t="b" s="43" cm="1">
        <f t="array" ref="L243">ISBLANK(F243)</f>
        <v>0</v>
      </c>
    </row>
    <row r="244" ht="18.5" customHeight="1">
      <c r="A244" t="s" s="36">
        <v>287</v>
      </c>
      <c r="B244" s="37">
        <v>45894</v>
      </c>
      <c r="C244" t="s" s="38">
        <v>26</v>
      </c>
      <c r="D244" t="s" s="38">
        <v>38</v>
      </c>
      <c r="E244" t="s" s="38">
        <v>39</v>
      </c>
      <c r="F244" s="39">
        <v>35</v>
      </c>
      <c r="G244" s="40">
        <v>50.11</v>
      </c>
      <c r="H244" t="s" s="38">
        <v>19</v>
      </c>
      <c r="I244" s="41" cm="1">
        <f t="array" ref="I244">IF(F244=0,"",G244/F244)</f>
        <v>1.43171428571429</v>
      </c>
      <c r="J244" t="str" s="42" cm="1">
        <f t="array" ref="J244">CHOOSE(MIN(6,INT(F244/20)+1),"0–20","20–40","40–60","60–80","80–100","100–120")</f>
        <v>20–40</v>
      </c>
      <c r="K244" t="str" s="42" cm="1">
        <f t="array" ref="K244">CHOOSE(MATCH(F244,{0;20;40;60;80;100}),"0–20","20–40","40–60","60–80","80–100","100–120")</f>
        <v>20–40</v>
      </c>
      <c r="L244" t="b" s="43" cm="1">
        <f t="array" ref="L244">ISBLANK(F244)</f>
        <v>0</v>
      </c>
    </row>
    <row r="245" ht="18.5" customHeight="1">
      <c r="A245" t="s" s="44">
        <v>288</v>
      </c>
      <c r="B245" s="45">
        <v>45896</v>
      </c>
      <c r="C245" t="s" s="46">
        <v>16</v>
      </c>
      <c r="D245" t="s" s="46">
        <v>63</v>
      </c>
      <c r="E245" t="s" s="46">
        <v>65</v>
      </c>
      <c r="F245" s="47">
        <v>14</v>
      </c>
      <c r="G245" s="48">
        <v>20.8</v>
      </c>
      <c r="H245" t="s" s="49">
        <v>19</v>
      </c>
      <c r="I245" s="50" cm="1">
        <f t="array" ref="I245">IF(F245=0,"",G245/F245)</f>
        <v>1.48571428571429</v>
      </c>
      <c r="J245" t="str" s="42" cm="1">
        <f t="array" ref="J245">CHOOSE(MIN(6,INT(F245/20)+1),"0–20","20–40","40–60","60–80","80–100","100–120")</f>
        <v>0–20</v>
      </c>
      <c r="K245" t="str" s="42" cm="1">
        <f t="array" ref="K245">CHOOSE(MATCH(F245,{0;20;40;60;80;100}),"0–20","20–40","40–60","60–80","80–100","100–120")</f>
        <v>0–20</v>
      </c>
      <c r="L245" t="b" s="43" cm="1">
        <f t="array" ref="L245">ISBLANK(F245)</f>
        <v>0</v>
      </c>
    </row>
    <row r="246" ht="18.5" customHeight="1">
      <c r="A246" t="s" s="36">
        <v>289</v>
      </c>
      <c r="B246" s="37">
        <v>45898</v>
      </c>
      <c r="C246" t="s" s="38">
        <v>26</v>
      </c>
      <c r="D246" t="s" s="38">
        <v>38</v>
      </c>
      <c r="E246" t="s" s="38">
        <v>39</v>
      </c>
      <c r="F246" s="39">
        <v>34</v>
      </c>
      <c r="G246" s="40">
        <v>49.89</v>
      </c>
      <c r="H246" t="s" s="38">
        <v>19</v>
      </c>
      <c r="I246" s="41" cm="1">
        <f t="array" ref="I246">IF(F246=0,"",G246/F246)</f>
        <v>1.46735294117647</v>
      </c>
      <c r="J246" t="str" s="42" cm="1">
        <f t="array" ref="J246">CHOOSE(MIN(6,INT(F246/20)+1),"0–20","20–40","40–60","60–80","80–100","100–120")</f>
        <v>20–40</v>
      </c>
      <c r="K246" t="str" s="42" cm="1">
        <f t="array" ref="K246">CHOOSE(MATCH(F246,{0;20;40;60;80;100}),"0–20","20–40","40–60","60–80","80–100","100–120")</f>
        <v>20–40</v>
      </c>
      <c r="L246" t="b" s="43" cm="1">
        <f t="array" ref="L246">ISBLANK(F246)</f>
        <v>0</v>
      </c>
    </row>
    <row r="247" ht="18.5" customHeight="1">
      <c r="A247" t="s" s="44">
        <v>290</v>
      </c>
      <c r="B247" s="45">
        <v>45899</v>
      </c>
      <c r="C247" t="s" s="46">
        <v>34</v>
      </c>
      <c r="D247" t="s" s="46">
        <v>47</v>
      </c>
      <c r="E247" t="s" s="46">
        <v>59</v>
      </c>
      <c r="F247" s="47">
        <v>16</v>
      </c>
      <c r="G247" s="48">
        <v>26.06</v>
      </c>
      <c r="H247" t="s" s="49">
        <v>19</v>
      </c>
      <c r="I247" s="50" cm="1">
        <f t="array" ref="I247">IF(F247=0,"",G247/F247)</f>
        <v>1.62875</v>
      </c>
      <c r="J247" t="str" s="42" cm="1">
        <f t="array" ref="J247">CHOOSE(MIN(6,INT(F247/20)+1),"0–20","20–40","40–60","60–80","80–100","100–120")</f>
        <v>0–20</v>
      </c>
      <c r="K247" t="str" s="42" cm="1">
        <f t="array" ref="K247">CHOOSE(MATCH(F247,{0;20;40;60;80;100}),"0–20","20–40","40–60","60–80","80–100","100–120")</f>
        <v>0–20</v>
      </c>
      <c r="L247" t="b" s="43" cm="1">
        <f t="array" ref="L247">ISBLANK(F247)</f>
        <v>0</v>
      </c>
    </row>
    <row r="248" ht="18.5" customHeight="1">
      <c r="A248" t="s" s="36">
        <v>291</v>
      </c>
      <c r="B248" s="37">
        <v>45901</v>
      </c>
      <c r="C248" t="s" s="38">
        <v>30</v>
      </c>
      <c r="D248" t="s" s="38">
        <v>42</v>
      </c>
      <c r="E248" t="s" s="38">
        <v>70</v>
      </c>
      <c r="F248" s="39">
        <v>19</v>
      </c>
      <c r="G248" s="40">
        <v>25.7</v>
      </c>
      <c r="H248" t="s" s="38">
        <v>19</v>
      </c>
      <c r="I248" s="41" cm="1">
        <f t="array" ref="I248">IF(F248=0,"",G248/F248)</f>
        <v>1.35263157894737</v>
      </c>
      <c r="J248" t="str" s="42" cm="1">
        <f t="array" ref="J248">CHOOSE(MIN(6,INT(F248/20)+1),"0–20","20–40","40–60","60–80","80–100","100–120")</f>
        <v>0–20</v>
      </c>
      <c r="K248" t="str" s="42" cm="1">
        <f t="array" ref="K248">CHOOSE(MATCH(F248,{0;20;40;60;80;100}),"0–20","20–40","40–60","60–80","80–100","100–120")</f>
        <v>0–20</v>
      </c>
      <c r="L248" t="b" s="43" cm="1">
        <f t="array" ref="L248">ISBLANK(F248)</f>
        <v>0</v>
      </c>
    </row>
    <row r="249" ht="18.5" customHeight="1">
      <c r="A249" t="s" s="44">
        <v>292</v>
      </c>
      <c r="B249" s="45">
        <v>45902</v>
      </c>
      <c r="C249" t="s" s="46">
        <v>30</v>
      </c>
      <c r="D249" t="s" s="46">
        <v>42</v>
      </c>
      <c r="E249" t="s" s="46">
        <v>32</v>
      </c>
      <c r="F249" s="47">
        <v>29</v>
      </c>
      <c r="G249" s="48">
        <v>32.94</v>
      </c>
      <c r="H249" t="s" s="49">
        <v>19</v>
      </c>
      <c r="I249" s="50" cm="1">
        <f t="array" ref="I249">IF(F249=0,"",G249/F249)</f>
        <v>1.13586206896552</v>
      </c>
      <c r="J249" t="str" s="42" cm="1">
        <f t="array" ref="J249">CHOOSE(MIN(6,INT(F249/20)+1),"0–20","20–40","40–60","60–80","80–100","100–120")</f>
        <v>20–40</v>
      </c>
      <c r="K249" t="str" s="42" cm="1">
        <f t="array" ref="K249">CHOOSE(MATCH(F249,{0;20;40;60;80;100}),"0–20","20–40","40–60","60–80","80–100","100–120")</f>
        <v>20–40</v>
      </c>
      <c r="L249" t="b" s="43" cm="1">
        <f t="array" ref="L249">ISBLANK(F249)</f>
        <v>0</v>
      </c>
    </row>
    <row r="250" ht="18.5" customHeight="1">
      <c r="A250" t="s" s="36">
        <v>293</v>
      </c>
      <c r="B250" s="37">
        <v>45903</v>
      </c>
      <c r="C250" t="s" s="38">
        <v>30</v>
      </c>
      <c r="D250" t="s" s="38">
        <v>42</v>
      </c>
      <c r="E250" t="s" s="38">
        <v>32</v>
      </c>
      <c r="F250" s="39">
        <v>12</v>
      </c>
      <c r="G250" s="40">
        <v>15.54</v>
      </c>
      <c r="H250" t="s" s="38">
        <v>19</v>
      </c>
      <c r="I250" s="41" cm="1">
        <f t="array" ref="I250">IF(F250=0,"",G250/F250)</f>
        <v>1.295</v>
      </c>
      <c r="J250" t="str" s="42" cm="1">
        <f t="array" ref="J250">CHOOSE(MIN(6,INT(F250/20)+1),"0–20","20–40","40–60","60–80","80–100","100–120")</f>
        <v>0–20</v>
      </c>
      <c r="K250" t="str" s="42" cm="1">
        <f t="array" ref="K250">CHOOSE(MATCH(F250,{0;20;40;60;80;100}),"0–20","20–40","40–60","60–80","80–100","100–120")</f>
        <v>0–20</v>
      </c>
      <c r="L250" t="b" s="43" cm="1">
        <f t="array" ref="L250">ISBLANK(F250)</f>
        <v>0</v>
      </c>
    </row>
    <row r="251" ht="18.5" customHeight="1">
      <c r="A251" t="s" s="44">
        <v>294</v>
      </c>
      <c r="B251" s="45">
        <v>45903</v>
      </c>
      <c r="C251" t="s" s="46">
        <v>30</v>
      </c>
      <c r="D251" t="s" s="46">
        <v>31</v>
      </c>
      <c r="E251" t="s" s="46">
        <v>43</v>
      </c>
      <c r="F251" s="47">
        <v>22</v>
      </c>
      <c r="G251" s="48">
        <v>24.25</v>
      </c>
      <c r="H251" t="s" s="49">
        <v>19</v>
      </c>
      <c r="I251" s="50" cm="1">
        <f t="array" ref="I251">IF(F251=0,"",G251/F251)</f>
        <v>1.10227272727273</v>
      </c>
      <c r="J251" t="str" s="42" cm="1">
        <f t="array" ref="J251">CHOOSE(MIN(6,INT(F251/20)+1),"0–20","20–40","40–60","60–80","80–100","100–120")</f>
        <v>20–40</v>
      </c>
      <c r="K251" t="str" s="42" cm="1">
        <f t="array" ref="K251">CHOOSE(MATCH(F251,{0;20;40;60;80;100}),"0–20","20–40","40–60","60–80","80–100","100–120")</f>
        <v>20–40</v>
      </c>
      <c r="L251" t="b" s="43" cm="1">
        <f t="array" ref="L251">ISBLANK(F251)</f>
        <v>0</v>
      </c>
    </row>
    <row r="252" ht="18.5" customHeight="1">
      <c r="A252" t="s" s="36">
        <v>295</v>
      </c>
      <c r="B252" s="37">
        <v>45904</v>
      </c>
      <c r="C252" t="s" s="38">
        <v>21</v>
      </c>
      <c r="D252" t="s" s="38">
        <v>22</v>
      </c>
      <c r="E252" t="s" s="38">
        <v>52</v>
      </c>
      <c r="F252" s="39">
        <v>20</v>
      </c>
      <c r="G252" s="40">
        <v>24.59</v>
      </c>
      <c r="H252" t="s" s="38">
        <v>19</v>
      </c>
      <c r="I252" s="41" cm="1">
        <f t="array" ref="I252">IF(F252=0,"",G252/F252)</f>
        <v>1.2295</v>
      </c>
      <c r="J252" t="str" s="42" cm="1">
        <f t="array" ref="J252">CHOOSE(MIN(6,INT(F252/20)+1),"0–20","20–40","40–60","60–80","80–100","100–120")</f>
        <v>20–40</v>
      </c>
      <c r="K252" t="str" s="42" cm="1">
        <f t="array" ref="K252">CHOOSE(MATCH(F252,{0;20;40;60;80;100}),"0–20","20–40","40–60","60–80","80–100","100–120")</f>
        <v>20–40</v>
      </c>
      <c r="L252" t="b" s="43" cm="1">
        <f t="array" ref="L252">ISBLANK(F252)</f>
        <v>0</v>
      </c>
    </row>
    <row r="253" ht="18.5" customHeight="1">
      <c r="A253" t="s" s="44">
        <v>296</v>
      </c>
      <c r="B253" s="45">
        <v>45905</v>
      </c>
      <c r="C253" t="s" s="46">
        <v>21</v>
      </c>
      <c r="D253" t="s" s="46">
        <v>51</v>
      </c>
      <c r="E253" t="s" s="46">
        <v>23</v>
      </c>
      <c r="F253" s="47">
        <v>32</v>
      </c>
      <c r="G253" s="48">
        <v>36.53</v>
      </c>
      <c r="H253" t="s" s="49">
        <v>24</v>
      </c>
      <c r="I253" s="50" cm="1">
        <f t="array" ref="I253">IF(F253=0,"",G253/F253)</f>
        <v>1.1415625</v>
      </c>
      <c r="J253" t="str" s="42" cm="1">
        <f t="array" ref="J253">CHOOSE(MIN(6,INT(F253/20)+1),"0–20","20–40","40–60","60–80","80–100","100–120")</f>
        <v>20–40</v>
      </c>
      <c r="K253" t="str" s="42" cm="1">
        <f t="array" ref="K253">CHOOSE(MATCH(F253,{0;20;40;60;80;100}),"0–20","20–40","40–60","60–80","80–100","100–120")</f>
        <v>20–40</v>
      </c>
      <c r="L253" t="b" s="43" cm="1">
        <f t="array" ref="L253">ISBLANK(F253)</f>
        <v>0</v>
      </c>
    </row>
    <row r="254" ht="18.5" customHeight="1">
      <c r="A254" t="s" s="36">
        <v>297</v>
      </c>
      <c r="B254" s="37">
        <v>45906</v>
      </c>
      <c r="C254" t="s" s="38">
        <v>26</v>
      </c>
      <c r="D254" t="s" s="38">
        <v>38</v>
      </c>
      <c r="E254" t="s" s="38">
        <v>28</v>
      </c>
      <c r="F254" s="39">
        <v>44</v>
      </c>
      <c r="G254" s="40">
        <v>60.67</v>
      </c>
      <c r="H254" t="s" s="38">
        <v>19</v>
      </c>
      <c r="I254" s="41" cm="1">
        <f t="array" ref="I254">IF(F254=0,"",G254/F254)</f>
        <v>1.37886363636364</v>
      </c>
      <c r="J254" t="str" s="42" cm="1">
        <f t="array" ref="J254">CHOOSE(MIN(6,INT(F254/20)+1),"0–20","20–40","40–60","60–80","80–100","100–120")</f>
        <v>40–60</v>
      </c>
      <c r="K254" t="str" s="42" cm="1">
        <f t="array" ref="K254">CHOOSE(MATCH(F254,{0;20;40;60;80;100}),"0–20","20–40","40–60","60–80","80–100","100–120")</f>
        <v>40–60</v>
      </c>
      <c r="L254" t="b" s="43" cm="1">
        <f t="array" ref="L254">ISBLANK(F254)</f>
        <v>0</v>
      </c>
    </row>
    <row r="255" ht="18.5" customHeight="1">
      <c r="A255" t="s" s="44">
        <v>298</v>
      </c>
      <c r="B255" s="45">
        <v>45907</v>
      </c>
      <c r="C255" t="s" s="46">
        <v>21</v>
      </c>
      <c r="D255" t="s" s="46">
        <v>51</v>
      </c>
      <c r="E255" t="s" s="46">
        <v>52</v>
      </c>
      <c r="F255" s="47">
        <v>30</v>
      </c>
      <c r="G255" s="48">
        <v>37.3</v>
      </c>
      <c r="H255" t="s" s="49">
        <v>19</v>
      </c>
      <c r="I255" s="50" cm="1">
        <f t="array" ref="I255">IF(F255=0,"",G255/F255)</f>
        <v>1.24333333333333</v>
      </c>
      <c r="J255" t="str" s="42" cm="1">
        <f t="array" ref="J255">CHOOSE(MIN(6,INT(F255/20)+1),"0–20","20–40","40–60","60–80","80–100","100–120")</f>
        <v>20–40</v>
      </c>
      <c r="K255" t="str" s="42" cm="1">
        <f t="array" ref="K255">CHOOSE(MATCH(F255,{0;20;40;60;80;100}),"0–20","20–40","40–60","60–80","80–100","100–120")</f>
        <v>20–40</v>
      </c>
      <c r="L255" t="b" s="43" cm="1">
        <f t="array" ref="L255">ISBLANK(F255)</f>
        <v>0</v>
      </c>
    </row>
    <row r="256" ht="18.5" customHeight="1">
      <c r="A256" t="s" s="36">
        <v>299</v>
      </c>
      <c r="B256" s="37">
        <v>45907</v>
      </c>
      <c r="C256" t="s" s="38">
        <v>30</v>
      </c>
      <c r="D256" t="s" s="38">
        <v>31</v>
      </c>
      <c r="E256" t="s" s="38">
        <v>32</v>
      </c>
      <c r="F256" s="39">
        <v>28</v>
      </c>
      <c r="G256" s="40">
        <v>32.09</v>
      </c>
      <c r="H256" t="s" s="38">
        <v>19</v>
      </c>
      <c r="I256" s="41" cm="1">
        <f t="array" ref="I256">IF(F256=0,"",G256/F256)</f>
        <v>1.14607142857143</v>
      </c>
      <c r="J256" t="str" s="42" cm="1">
        <f t="array" ref="J256">CHOOSE(MIN(6,INT(F256/20)+1),"0–20","20–40","40–60","60–80","80–100","100–120")</f>
        <v>20–40</v>
      </c>
      <c r="K256" t="str" s="42" cm="1">
        <f t="array" ref="K256">CHOOSE(MATCH(F256,{0;20;40;60;80;100}),"0–20","20–40","40–60","60–80","80–100","100–120")</f>
        <v>20–40</v>
      </c>
      <c r="L256" t="b" s="43" cm="1">
        <f t="array" ref="L256">ISBLANK(F256)</f>
        <v>0</v>
      </c>
    </row>
    <row r="257" ht="18.5" customHeight="1">
      <c r="A257" t="s" s="44">
        <v>300</v>
      </c>
      <c r="B257" s="45">
        <v>45908</v>
      </c>
      <c r="C257" t="s" s="46">
        <v>21</v>
      </c>
      <c r="D257" t="s" s="46">
        <v>22</v>
      </c>
      <c r="E257" t="s" s="46">
        <v>23</v>
      </c>
      <c r="F257" s="47">
        <v>14</v>
      </c>
      <c r="G257" s="48">
        <v>14.51</v>
      </c>
      <c r="H257" t="s" s="49">
        <v>19</v>
      </c>
      <c r="I257" s="50" cm="1">
        <f t="array" ref="I257">IF(F257=0,"",G257/F257)</f>
        <v>1.03642857142857</v>
      </c>
      <c r="J257" t="str" s="42" cm="1">
        <f t="array" ref="J257">CHOOSE(MIN(6,INT(F257/20)+1),"0–20","20–40","40–60","60–80","80–100","100–120")</f>
        <v>0–20</v>
      </c>
      <c r="K257" t="str" s="42" cm="1">
        <f t="array" ref="K257">CHOOSE(MATCH(F257,{0;20;40;60;80;100}),"0–20","20–40","40–60","60–80","80–100","100–120")</f>
        <v>0–20</v>
      </c>
      <c r="L257" t="b" s="43" cm="1">
        <f t="array" ref="L257">ISBLANK(F257)</f>
        <v>0</v>
      </c>
    </row>
    <row r="258" ht="18.5" customHeight="1">
      <c r="A258" t="s" s="36">
        <v>301</v>
      </c>
      <c r="B258" s="37">
        <v>45911</v>
      </c>
      <c r="C258" t="s" s="38">
        <v>21</v>
      </c>
      <c r="D258" t="s" s="38">
        <v>51</v>
      </c>
      <c r="E258" t="s" s="38">
        <v>52</v>
      </c>
      <c r="F258" s="39">
        <v>27</v>
      </c>
      <c r="G258" s="40">
        <v>27.48</v>
      </c>
      <c r="H258" t="s" s="38">
        <v>19</v>
      </c>
      <c r="I258" s="41" cm="1">
        <f t="array" ref="I258">IF(F258=0,"",G258/F258)</f>
        <v>1.01777777777778</v>
      </c>
      <c r="J258" t="str" s="42" cm="1">
        <f t="array" ref="J258">CHOOSE(MIN(6,INT(F258/20)+1),"0–20","20–40","40–60","60–80","80–100","100–120")</f>
        <v>20–40</v>
      </c>
      <c r="K258" t="str" s="42" cm="1">
        <f t="array" ref="K258">CHOOSE(MATCH(F258,{0;20;40;60;80;100}),"0–20","20–40","40–60","60–80","80–100","100–120")</f>
        <v>20–40</v>
      </c>
      <c r="L258" t="b" s="43" cm="1">
        <f t="array" ref="L258">ISBLANK(F258)</f>
        <v>0</v>
      </c>
    </row>
    <row r="259" ht="18.5" customHeight="1">
      <c r="A259" t="s" s="44">
        <v>302</v>
      </c>
      <c r="B259" s="45">
        <v>45911</v>
      </c>
      <c r="C259" t="s" s="46">
        <v>30</v>
      </c>
      <c r="D259" t="s" s="46">
        <v>31</v>
      </c>
      <c r="E259" t="s" s="46">
        <v>70</v>
      </c>
      <c r="F259" s="47">
        <v>6</v>
      </c>
      <c r="G259" s="48">
        <v>7.26</v>
      </c>
      <c r="H259" t="s" s="49">
        <v>19</v>
      </c>
      <c r="I259" s="50" cm="1">
        <f t="array" ref="I259">IF(F259=0,"",G259/F259)</f>
        <v>1.21</v>
      </c>
      <c r="J259" t="str" s="42" cm="1">
        <f t="array" ref="J259">CHOOSE(MIN(6,INT(F259/20)+1),"0–20","20–40","40–60","60–80","80–100","100–120")</f>
        <v>0–20</v>
      </c>
      <c r="K259" t="str" s="42" cm="1">
        <f t="array" ref="K259">CHOOSE(MATCH(F259,{0;20;40;60;80;100}),"0–20","20–40","40–60","60–80","80–100","100–120")</f>
        <v>0–20</v>
      </c>
      <c r="L259" t="b" s="43" cm="1">
        <f t="array" ref="L259">ISBLANK(F259)</f>
        <v>0</v>
      </c>
    </row>
    <row r="260" ht="18.5" customHeight="1">
      <c r="A260" t="s" s="36">
        <v>303</v>
      </c>
      <c r="B260" s="37">
        <v>45912</v>
      </c>
      <c r="C260" t="s" s="38">
        <v>16</v>
      </c>
      <c r="D260" t="s" s="38">
        <v>17</v>
      </c>
      <c r="E260" t="s" s="38">
        <v>65</v>
      </c>
      <c r="F260" s="39">
        <v>29</v>
      </c>
      <c r="G260" s="40">
        <v>46.68</v>
      </c>
      <c r="H260" t="s" s="38">
        <v>19</v>
      </c>
      <c r="I260" s="41" cm="1">
        <f t="array" ref="I260">IF(F260=0,"",G260/F260)</f>
        <v>1.60965517241379</v>
      </c>
      <c r="J260" t="str" s="42" cm="1">
        <f t="array" ref="J260">CHOOSE(MIN(6,INT(F260/20)+1),"0–20","20–40","40–60","60–80","80–100","100–120")</f>
        <v>20–40</v>
      </c>
      <c r="K260" t="str" s="42" cm="1">
        <f t="array" ref="K260">CHOOSE(MATCH(F260,{0;20;40;60;80;100}),"0–20","20–40","40–60","60–80","80–100","100–120")</f>
        <v>20–40</v>
      </c>
      <c r="L260" t="b" s="43" cm="1">
        <f t="array" ref="L260">ISBLANK(F260)</f>
        <v>0</v>
      </c>
    </row>
    <row r="261" ht="18.5" customHeight="1">
      <c r="A261" t="s" s="44">
        <v>304</v>
      </c>
      <c r="B261" s="45">
        <v>45913</v>
      </c>
      <c r="C261" t="s" s="46">
        <v>30</v>
      </c>
      <c r="D261" t="s" s="46">
        <v>42</v>
      </c>
      <c r="E261" t="s" s="46">
        <v>70</v>
      </c>
      <c r="F261" s="47">
        <v>27</v>
      </c>
      <c r="G261" s="48">
        <v>30.9</v>
      </c>
      <c r="H261" t="s" s="49">
        <v>19</v>
      </c>
      <c r="I261" s="50" cm="1">
        <f t="array" ref="I261">IF(F261=0,"",G261/F261)</f>
        <v>1.14444444444444</v>
      </c>
      <c r="J261" t="str" s="42" cm="1">
        <f t="array" ref="J261">CHOOSE(MIN(6,INT(F261/20)+1),"0–20","20–40","40–60","60–80","80–100","100–120")</f>
        <v>20–40</v>
      </c>
      <c r="K261" t="str" s="42" cm="1">
        <f t="array" ref="K261">CHOOSE(MATCH(F261,{0;20;40;60;80;100}),"0–20","20–40","40–60","60–80","80–100","100–120")</f>
        <v>20–40</v>
      </c>
      <c r="L261" t="b" s="43" cm="1">
        <f t="array" ref="L261">ISBLANK(F261)</f>
        <v>0</v>
      </c>
    </row>
    <row r="262" ht="18.5" customHeight="1">
      <c r="A262" t="s" s="36">
        <v>305</v>
      </c>
      <c r="B262" s="37">
        <v>45914</v>
      </c>
      <c r="C262" t="s" s="38">
        <v>16</v>
      </c>
      <c r="D262" t="s" s="38">
        <v>63</v>
      </c>
      <c r="E262" t="s" s="38">
        <v>65</v>
      </c>
      <c r="F262" s="39">
        <v>23</v>
      </c>
      <c r="G262" s="40">
        <v>35.87</v>
      </c>
      <c r="H262" t="s" s="38">
        <v>19</v>
      </c>
      <c r="I262" s="41" cm="1">
        <f t="array" ref="I262">IF(F262=0,"",G262/F262)</f>
        <v>1.5595652173913</v>
      </c>
      <c r="J262" t="str" s="42" cm="1">
        <f t="array" ref="J262">CHOOSE(MIN(6,INT(F262/20)+1),"0–20","20–40","40–60","60–80","80–100","100–120")</f>
        <v>20–40</v>
      </c>
      <c r="K262" t="str" s="42" cm="1">
        <f t="array" ref="K262">CHOOSE(MATCH(F262,{0;20;40;60;80;100}),"0–20","20–40","40–60","60–80","80–100","100–120")</f>
        <v>20–40</v>
      </c>
      <c r="L262" t="b" s="43" cm="1">
        <f t="array" ref="L262">ISBLANK(F262)</f>
        <v>0</v>
      </c>
    </row>
    <row r="263" ht="18.5" customHeight="1">
      <c r="A263" t="s" s="44">
        <v>306</v>
      </c>
      <c r="B263" s="45">
        <v>45917</v>
      </c>
      <c r="C263" t="s" s="46">
        <v>26</v>
      </c>
      <c r="D263" t="s" s="46">
        <v>45</v>
      </c>
      <c r="E263" t="s" s="46">
        <v>28</v>
      </c>
      <c r="F263" s="47">
        <v>45</v>
      </c>
      <c r="G263" s="48">
        <v>63.41</v>
      </c>
      <c r="H263" t="s" s="49">
        <v>19</v>
      </c>
      <c r="I263" s="50" cm="1">
        <f t="array" ref="I263">IF(F263=0,"",G263/F263)</f>
        <v>1.40911111111111</v>
      </c>
      <c r="J263" t="str" s="42" cm="1">
        <f t="array" ref="J263">CHOOSE(MIN(6,INT(F263/20)+1),"0–20","20–40","40–60","60–80","80–100","100–120")</f>
        <v>40–60</v>
      </c>
      <c r="K263" t="str" s="42" cm="1">
        <f t="array" ref="K263">CHOOSE(MATCH(F263,{0;20;40;60;80;100}),"0–20","20–40","40–60","60–80","80–100","100–120")</f>
        <v>40–60</v>
      </c>
      <c r="L263" t="b" s="43" cm="1">
        <f t="array" ref="L263">ISBLANK(F263)</f>
        <v>0</v>
      </c>
    </row>
    <row r="264" ht="18.5" customHeight="1">
      <c r="A264" t="s" s="36">
        <v>307</v>
      </c>
      <c r="B264" s="37">
        <v>45917</v>
      </c>
      <c r="C264" t="s" s="38">
        <v>26</v>
      </c>
      <c r="D264" t="s" s="38">
        <v>38</v>
      </c>
      <c r="E264" t="s" s="38">
        <v>39</v>
      </c>
      <c r="F264" s="39">
        <v>27</v>
      </c>
      <c r="G264" s="40">
        <v>43.8</v>
      </c>
      <c r="H264" t="s" s="38">
        <v>19</v>
      </c>
      <c r="I264" s="41" cm="1">
        <f t="array" ref="I264">IF(F264=0,"",G264/F264)</f>
        <v>1.62222222222222</v>
      </c>
      <c r="J264" t="str" s="42" cm="1">
        <f t="array" ref="J264">CHOOSE(MIN(6,INT(F264/20)+1),"0–20","20–40","40–60","60–80","80–100","100–120")</f>
        <v>20–40</v>
      </c>
      <c r="K264" t="str" s="42" cm="1">
        <f t="array" ref="K264">CHOOSE(MATCH(F264,{0;20;40;60;80;100}),"0–20","20–40","40–60","60–80","80–100","100–120")</f>
        <v>20–40</v>
      </c>
      <c r="L264" t="b" s="43" cm="1">
        <f t="array" ref="L264">ISBLANK(F264)</f>
        <v>0</v>
      </c>
    </row>
    <row r="265" ht="18.5" customHeight="1">
      <c r="A265" t="s" s="44">
        <v>308</v>
      </c>
      <c r="B265" s="45">
        <v>45917</v>
      </c>
      <c r="C265" t="s" s="46">
        <v>26</v>
      </c>
      <c r="D265" t="s" s="46">
        <v>27</v>
      </c>
      <c r="E265" t="s" s="46">
        <v>39</v>
      </c>
      <c r="F265" s="47">
        <v>36</v>
      </c>
      <c r="G265" s="48">
        <v>60.01</v>
      </c>
      <c r="H265" t="s" s="49">
        <v>19</v>
      </c>
      <c r="I265" s="50" cm="1">
        <f t="array" ref="I265">IF(F265=0,"",G265/F265)</f>
        <v>1.66694444444444</v>
      </c>
      <c r="J265" t="str" s="42" cm="1">
        <f t="array" ref="J265">CHOOSE(MIN(6,INT(F265/20)+1),"0–20","20–40","40–60","60–80","80–100","100–120")</f>
        <v>20–40</v>
      </c>
      <c r="K265" t="str" s="42" cm="1">
        <f t="array" ref="K265">CHOOSE(MATCH(F265,{0;20;40;60;80;100}),"0–20","20–40","40–60","60–80","80–100","100–120")</f>
        <v>20–40</v>
      </c>
      <c r="L265" t="b" s="43" cm="1">
        <f t="array" ref="L265">ISBLANK(F265)</f>
        <v>0</v>
      </c>
    </row>
    <row r="266" ht="18.5" customHeight="1">
      <c r="A266" t="s" s="36">
        <v>309</v>
      </c>
      <c r="B266" s="37">
        <v>45917</v>
      </c>
      <c r="C266" t="s" s="38">
        <v>34</v>
      </c>
      <c r="D266" t="s" s="38">
        <v>47</v>
      </c>
      <c r="E266" t="s" s="38">
        <v>59</v>
      </c>
      <c r="F266" s="39">
        <v>62</v>
      </c>
      <c r="G266" s="40">
        <v>108.45</v>
      </c>
      <c r="H266" t="s" s="38">
        <v>19</v>
      </c>
      <c r="I266" s="41" cm="1">
        <f t="array" ref="I266">IF(F266=0,"",G266/F266)</f>
        <v>1.7491935483871</v>
      </c>
      <c r="J266" t="str" s="42" cm="1">
        <f t="array" ref="J266">CHOOSE(MIN(6,INT(F266/20)+1),"0–20","20–40","40–60","60–80","80–100","100–120")</f>
        <v>60–80</v>
      </c>
      <c r="K266" t="str" s="42" cm="1">
        <f t="array" ref="K266">CHOOSE(MATCH(F266,{0;20;40;60;80;100}),"0–20","20–40","40–60","60–80","80–100","100–120")</f>
        <v>60–80</v>
      </c>
      <c r="L266" t="b" s="43" cm="1">
        <f t="array" ref="L266">ISBLANK(F266)</f>
        <v>0</v>
      </c>
    </row>
    <row r="267" ht="18.5" customHeight="1">
      <c r="A267" t="s" s="44">
        <v>310</v>
      </c>
      <c r="B267" s="45">
        <v>45918</v>
      </c>
      <c r="C267" t="s" s="46">
        <v>26</v>
      </c>
      <c r="D267" t="s" s="46">
        <v>45</v>
      </c>
      <c r="E267" t="s" s="46">
        <v>39</v>
      </c>
      <c r="F267" s="47">
        <v>39</v>
      </c>
      <c r="G267" s="48">
        <v>66.51000000000001</v>
      </c>
      <c r="H267" t="s" s="49">
        <v>19</v>
      </c>
      <c r="I267" s="50" cm="1">
        <f t="array" ref="I267">IF(F267=0,"",G267/F267)</f>
        <v>1.70538461538462</v>
      </c>
      <c r="J267" t="str" s="42" cm="1">
        <f t="array" ref="J267">CHOOSE(MIN(6,INT(F267/20)+1),"0–20","20–40","40–60","60–80","80–100","100–120")</f>
        <v>20–40</v>
      </c>
      <c r="K267" t="str" s="42" cm="1">
        <f t="array" ref="K267">CHOOSE(MATCH(F267,{0;20;40;60;80;100}),"0–20","20–40","40–60","60–80","80–100","100–120")</f>
        <v>20–40</v>
      </c>
      <c r="L267" t="b" s="43" cm="1">
        <f t="array" ref="L267">ISBLANK(F267)</f>
        <v>0</v>
      </c>
    </row>
    <row r="268" ht="18.5" customHeight="1">
      <c r="A268" t="s" s="36">
        <v>311</v>
      </c>
      <c r="B268" s="37">
        <v>45921</v>
      </c>
      <c r="C268" t="s" s="38">
        <v>26</v>
      </c>
      <c r="D268" t="s" s="38">
        <v>27</v>
      </c>
      <c r="E268" t="s" s="38">
        <v>39</v>
      </c>
      <c r="F268" s="39">
        <v>36</v>
      </c>
      <c r="G268" s="40">
        <v>51.49</v>
      </c>
      <c r="H268" t="s" s="38">
        <v>19</v>
      </c>
      <c r="I268" s="41" cm="1">
        <f t="array" ref="I268">IF(F268=0,"",G268/F268)</f>
        <v>1.43027777777778</v>
      </c>
      <c r="J268" t="str" s="42" cm="1">
        <f t="array" ref="J268">CHOOSE(MIN(6,INT(F268/20)+1),"0–20","20–40","40–60","60–80","80–100","100–120")</f>
        <v>20–40</v>
      </c>
      <c r="K268" t="str" s="42" cm="1">
        <f t="array" ref="K268">CHOOSE(MATCH(F268,{0;20;40;60;80;100}),"0–20","20–40","40–60","60–80","80–100","100–120")</f>
        <v>20–40</v>
      </c>
      <c r="L268" t="b" s="43" cm="1">
        <f t="array" ref="L268">ISBLANK(F268)</f>
        <v>0</v>
      </c>
    </row>
    <row r="269" ht="18.5" customHeight="1">
      <c r="A269" t="s" s="44">
        <v>312</v>
      </c>
      <c r="B269" s="45">
        <v>45921</v>
      </c>
      <c r="C269" t="s" s="46">
        <v>30</v>
      </c>
      <c r="D269" t="s" s="46">
        <v>31</v>
      </c>
      <c r="E269" t="s" s="46">
        <v>70</v>
      </c>
      <c r="F269" s="47">
        <v>49</v>
      </c>
      <c r="G269" s="48">
        <v>60.35</v>
      </c>
      <c r="H269" t="s" s="49">
        <v>24</v>
      </c>
      <c r="I269" s="50" cm="1">
        <f t="array" ref="I269">IF(F269=0,"",G269/F269)</f>
        <v>1.23163265306122</v>
      </c>
      <c r="J269" t="str" s="42" cm="1">
        <f t="array" ref="J269">CHOOSE(MIN(6,INT(F269/20)+1),"0–20","20–40","40–60","60–80","80–100","100–120")</f>
        <v>40–60</v>
      </c>
      <c r="K269" t="str" s="42" cm="1">
        <f t="array" ref="K269">CHOOSE(MATCH(F269,{0;20;40;60;80;100}),"0–20","20–40","40–60","60–80","80–100","100–120")</f>
        <v>40–60</v>
      </c>
      <c r="L269" t="b" s="43" cm="1">
        <f t="array" ref="L269">ISBLANK(F269)</f>
        <v>0</v>
      </c>
    </row>
    <row r="270" ht="18.5" customHeight="1">
      <c r="A270" t="s" s="36">
        <v>313</v>
      </c>
      <c r="B270" s="37">
        <v>45923</v>
      </c>
      <c r="C270" t="s" s="38">
        <v>26</v>
      </c>
      <c r="D270" t="s" s="38">
        <v>45</v>
      </c>
      <c r="E270" t="s" s="38">
        <v>43</v>
      </c>
      <c r="F270" s="39">
        <v>31</v>
      </c>
      <c r="G270" s="40">
        <v>44.95</v>
      </c>
      <c r="H270" t="s" s="38">
        <v>19</v>
      </c>
      <c r="I270" s="41" cm="1">
        <f t="array" ref="I270">IF(F270=0,"",G270/F270)</f>
        <v>1.45</v>
      </c>
      <c r="J270" t="str" s="42" cm="1">
        <f t="array" ref="J270">CHOOSE(MIN(6,INT(F270/20)+1),"0–20","20–40","40–60","60–80","80–100","100–120")</f>
        <v>20–40</v>
      </c>
      <c r="K270" t="str" s="42" cm="1">
        <f t="array" ref="K270">CHOOSE(MATCH(F270,{0;20;40;60;80;100}),"0–20","20–40","40–60","60–80","80–100","100–120")</f>
        <v>20–40</v>
      </c>
      <c r="L270" t="b" s="43" cm="1">
        <f t="array" ref="L270">ISBLANK(F270)</f>
        <v>0</v>
      </c>
    </row>
    <row r="271" ht="18.5" customHeight="1">
      <c r="A271" t="s" s="44">
        <v>314</v>
      </c>
      <c r="B271" s="45">
        <v>45924</v>
      </c>
      <c r="C271" t="s" s="46">
        <v>30</v>
      </c>
      <c r="D271" t="s" s="46">
        <v>42</v>
      </c>
      <c r="E271" t="s" s="46">
        <v>70</v>
      </c>
      <c r="F271" s="47">
        <v>33</v>
      </c>
      <c r="G271" s="48">
        <v>39.99</v>
      </c>
      <c r="H271" t="s" s="49">
        <v>19</v>
      </c>
      <c r="I271" s="50" cm="1">
        <f t="array" ref="I271">IF(F271=0,"",G271/F271)</f>
        <v>1.21181818181818</v>
      </c>
      <c r="J271" t="str" s="42" cm="1">
        <f t="array" ref="J271">CHOOSE(MIN(6,INT(F271/20)+1),"0–20","20–40","40–60","60–80","80–100","100–120")</f>
        <v>20–40</v>
      </c>
      <c r="K271" t="str" s="42" cm="1">
        <f t="array" ref="K271">CHOOSE(MATCH(F271,{0;20;40;60;80;100}),"0–20","20–40","40–60","60–80","80–100","100–120")</f>
        <v>20–40</v>
      </c>
      <c r="L271" t="b" s="43" cm="1">
        <f t="array" ref="L271">ISBLANK(F271)</f>
        <v>0</v>
      </c>
    </row>
    <row r="272" ht="18.5" customHeight="1">
      <c r="A272" t="s" s="36">
        <v>315</v>
      </c>
      <c r="B272" s="37">
        <v>45925</v>
      </c>
      <c r="C272" t="s" s="38">
        <v>26</v>
      </c>
      <c r="D272" t="s" s="38">
        <v>45</v>
      </c>
      <c r="E272" t="s" s="38">
        <v>28</v>
      </c>
      <c r="F272" s="39">
        <v>25</v>
      </c>
      <c r="G272" s="40">
        <v>40.03</v>
      </c>
      <c r="H272" t="s" s="38">
        <v>19</v>
      </c>
      <c r="I272" s="41" cm="1">
        <f t="array" ref="I272">IF(F272=0,"",G272/F272)</f>
        <v>1.6012</v>
      </c>
      <c r="J272" t="str" s="42" cm="1">
        <f t="array" ref="J272">CHOOSE(MIN(6,INT(F272/20)+1),"0–20","20–40","40–60","60–80","80–100","100–120")</f>
        <v>20–40</v>
      </c>
      <c r="K272" t="str" s="42" cm="1">
        <f t="array" ref="K272">CHOOSE(MATCH(F272,{0;20;40;60;80;100}),"0–20","20–40","40–60","60–80","80–100","100–120")</f>
        <v>20–40</v>
      </c>
      <c r="L272" t="b" s="43" cm="1">
        <f t="array" ref="L272">ISBLANK(F272)</f>
        <v>0</v>
      </c>
    </row>
    <row r="273" ht="18.5" customHeight="1">
      <c r="A273" t="s" s="44">
        <v>316</v>
      </c>
      <c r="B273" s="45">
        <v>45926</v>
      </c>
      <c r="C273" t="s" s="46">
        <v>21</v>
      </c>
      <c r="D273" t="s" s="46">
        <v>51</v>
      </c>
      <c r="E273" t="s" s="46">
        <v>52</v>
      </c>
      <c r="F273" s="47">
        <v>6</v>
      </c>
      <c r="G273" s="48">
        <v>6.78</v>
      </c>
      <c r="H273" t="s" s="49">
        <v>19</v>
      </c>
      <c r="I273" s="50" cm="1">
        <f t="array" ref="I273">IF(F273=0,"",G273/F273)</f>
        <v>1.13</v>
      </c>
      <c r="J273" t="str" s="42" cm="1">
        <f t="array" ref="J273">CHOOSE(MIN(6,INT(F273/20)+1),"0–20","20–40","40–60","60–80","80–100","100–120")</f>
        <v>0–20</v>
      </c>
      <c r="K273" t="str" s="42" cm="1">
        <f t="array" ref="K273">CHOOSE(MATCH(F273,{0;20;40;60;80;100}),"0–20","20–40","40–60","60–80","80–100","100–120")</f>
        <v>0–20</v>
      </c>
      <c r="L273" t="b" s="43" cm="1">
        <f t="array" ref="L273">ISBLANK(F273)</f>
        <v>0</v>
      </c>
    </row>
    <row r="274" ht="18.5" customHeight="1">
      <c r="A274" t="s" s="36">
        <v>317</v>
      </c>
      <c r="B274" s="37">
        <v>45929</v>
      </c>
      <c r="C274" t="s" s="38">
        <v>21</v>
      </c>
      <c r="D274" t="s" s="38">
        <v>22</v>
      </c>
      <c r="E274" t="s" s="38">
        <v>23</v>
      </c>
      <c r="F274" s="39">
        <v>23</v>
      </c>
      <c r="G274" s="40">
        <v>22.89</v>
      </c>
      <c r="H274" t="s" s="38">
        <v>19</v>
      </c>
      <c r="I274" s="41" cm="1">
        <f t="array" ref="I274">IF(F274=0,"",G274/F274)</f>
        <v>0.9952173913043481</v>
      </c>
      <c r="J274" t="str" s="42" cm="1">
        <f t="array" ref="J274">CHOOSE(MIN(6,INT(F274/20)+1),"0–20","20–40","40–60","60–80","80–100","100–120")</f>
        <v>20–40</v>
      </c>
      <c r="K274" t="str" s="42" cm="1">
        <f t="array" ref="K274">CHOOSE(MATCH(F274,{0;20;40;60;80;100}),"0–20","20–40","40–60","60–80","80–100","100–120")</f>
        <v>20–40</v>
      </c>
      <c r="L274" t="b" s="43" cm="1">
        <f t="array" ref="L274">ISBLANK(F274)</f>
        <v>0</v>
      </c>
    </row>
    <row r="275" ht="18.5" customHeight="1">
      <c r="A275" t="s" s="44">
        <v>318</v>
      </c>
      <c r="B275" s="45">
        <v>45929</v>
      </c>
      <c r="C275" t="s" s="46">
        <v>26</v>
      </c>
      <c r="D275" t="s" s="46">
        <v>27</v>
      </c>
      <c r="E275" t="s" s="46">
        <v>28</v>
      </c>
      <c r="F275" s="47">
        <v>38</v>
      </c>
      <c r="G275" s="48">
        <v>63.71</v>
      </c>
      <c r="H275" t="s" s="49">
        <v>19</v>
      </c>
      <c r="I275" s="50" cm="1">
        <f t="array" ref="I275">IF(F275=0,"",G275/F275)</f>
        <v>1.67657894736842</v>
      </c>
      <c r="J275" t="str" s="42" cm="1">
        <f t="array" ref="J275">CHOOSE(MIN(6,INT(F275/20)+1),"0–20","20–40","40–60","60–80","80–100","100–120")</f>
        <v>20–40</v>
      </c>
      <c r="K275" t="str" s="42" cm="1">
        <f t="array" ref="K275">CHOOSE(MATCH(F275,{0;20;40;60;80;100}),"0–20","20–40","40–60","60–80","80–100","100–120")</f>
        <v>20–40</v>
      </c>
      <c r="L275" t="b" s="43" cm="1">
        <f t="array" ref="L275">ISBLANK(F275)</f>
        <v>0</v>
      </c>
    </row>
    <row r="276" ht="18.5" customHeight="1">
      <c r="A276" t="s" s="36">
        <v>319</v>
      </c>
      <c r="B276" s="37">
        <v>45929</v>
      </c>
      <c r="C276" t="s" s="38">
        <v>26</v>
      </c>
      <c r="D276" t="s" s="38">
        <v>27</v>
      </c>
      <c r="E276" t="s" s="38">
        <v>43</v>
      </c>
      <c r="F276" s="39">
        <v>31</v>
      </c>
      <c r="G276" s="40">
        <v>46.85</v>
      </c>
      <c r="H276" t="s" s="38">
        <v>19</v>
      </c>
      <c r="I276" s="41" cm="1">
        <f t="array" ref="I276">IF(F276=0,"",G276/F276)</f>
        <v>1.51129032258065</v>
      </c>
      <c r="J276" t="str" s="42" cm="1">
        <f t="array" ref="J276">CHOOSE(MIN(6,INT(F276/20)+1),"0–20","20–40","40–60","60–80","80–100","100–120")</f>
        <v>20–40</v>
      </c>
      <c r="K276" t="str" s="42" cm="1">
        <f t="array" ref="K276">CHOOSE(MATCH(F276,{0;20;40;60;80;100}),"0–20","20–40","40–60","60–80","80–100","100–120")</f>
        <v>20–40</v>
      </c>
      <c r="L276" t="b" s="43" cm="1">
        <f t="array" ref="L276">ISBLANK(F276)</f>
        <v>0</v>
      </c>
    </row>
    <row r="277" ht="18.5" customHeight="1">
      <c r="A277" t="s" s="44">
        <v>320</v>
      </c>
      <c r="B277" s="45">
        <v>45929</v>
      </c>
      <c r="C277" t="s" s="46">
        <v>26</v>
      </c>
      <c r="D277" t="s" s="46">
        <v>45</v>
      </c>
      <c r="E277" t="s" s="46">
        <v>39</v>
      </c>
      <c r="F277" s="47">
        <v>50</v>
      </c>
      <c r="G277" s="48">
        <v>73.89</v>
      </c>
      <c r="H277" t="s" s="49">
        <v>19</v>
      </c>
      <c r="I277" s="50" cm="1">
        <f t="array" ref="I277">IF(F277=0,"",G277/F277)</f>
        <v>1.4778</v>
      </c>
      <c r="J277" t="str" s="42" cm="1">
        <f t="array" ref="J277">CHOOSE(MIN(6,INT(F277/20)+1),"0–20","20–40","40–60","60–80","80–100","100–120")</f>
        <v>40–60</v>
      </c>
      <c r="K277" t="str" s="42" cm="1">
        <f t="array" ref="K277">CHOOSE(MATCH(F277,{0;20;40;60;80;100}),"0–20","20–40","40–60","60–80","80–100","100–120")</f>
        <v>40–60</v>
      </c>
      <c r="L277" t="b" s="43" cm="1">
        <f t="array" ref="L277">ISBLANK(F277)</f>
        <v>0</v>
      </c>
    </row>
    <row r="278" ht="18.5" customHeight="1">
      <c r="A278" t="s" s="36">
        <v>321</v>
      </c>
      <c r="B278" s="37">
        <v>45931</v>
      </c>
      <c r="C278" t="s" s="38">
        <v>26</v>
      </c>
      <c r="D278" t="s" s="38">
        <v>45</v>
      </c>
      <c r="E278" t="s" s="38">
        <v>43</v>
      </c>
      <c r="F278" s="39">
        <v>13</v>
      </c>
      <c r="G278" s="40">
        <v>21.05</v>
      </c>
      <c r="H278" t="s" s="38">
        <v>19</v>
      </c>
      <c r="I278" s="41" cm="1">
        <f t="array" ref="I278">IF(F278=0,"",G278/F278)</f>
        <v>1.61923076923077</v>
      </c>
      <c r="J278" t="str" s="42" cm="1">
        <f t="array" ref="J278">CHOOSE(MIN(6,INT(F278/20)+1),"0–20","20–40","40–60","60–80","80–100","100–120")</f>
        <v>0–20</v>
      </c>
      <c r="K278" t="str" s="42" cm="1">
        <f t="array" ref="K278">CHOOSE(MATCH(F278,{0;20;40;60;80;100}),"0–20","20–40","40–60","60–80","80–100","100–120")</f>
        <v>0–20</v>
      </c>
      <c r="L278" t="b" s="43" cm="1">
        <f t="array" ref="L278">ISBLANK(F278)</f>
        <v>0</v>
      </c>
    </row>
    <row r="279" ht="18.5" customHeight="1">
      <c r="A279" t="s" s="44">
        <v>322</v>
      </c>
      <c r="B279" s="45">
        <v>45932</v>
      </c>
      <c r="C279" t="s" s="46">
        <v>26</v>
      </c>
      <c r="D279" t="s" s="46">
        <v>38</v>
      </c>
      <c r="E279" t="s" s="46">
        <v>28</v>
      </c>
      <c r="F279" s="47">
        <v>43</v>
      </c>
      <c r="G279" s="48">
        <v>67.41</v>
      </c>
      <c r="H279" t="s" s="49">
        <v>19</v>
      </c>
      <c r="I279" s="50" cm="1">
        <f t="array" ref="I279">IF(F279=0,"",G279/F279)</f>
        <v>1.56767441860465</v>
      </c>
      <c r="J279" t="str" s="42" cm="1">
        <f t="array" ref="J279">CHOOSE(MIN(6,INT(F279/20)+1),"0–20","20–40","40–60","60–80","80–100","100–120")</f>
        <v>40–60</v>
      </c>
      <c r="K279" t="str" s="42" cm="1">
        <f t="array" ref="K279">CHOOSE(MATCH(F279,{0;20;40;60;80;100}),"0–20","20–40","40–60","60–80","80–100","100–120")</f>
        <v>40–60</v>
      </c>
      <c r="L279" t="b" s="43" cm="1">
        <f t="array" ref="L279">ISBLANK(F279)</f>
        <v>0</v>
      </c>
    </row>
    <row r="280" ht="18.5" customHeight="1">
      <c r="A280" t="s" s="36">
        <v>323</v>
      </c>
      <c r="B280" s="37">
        <v>45933</v>
      </c>
      <c r="C280" t="s" s="38">
        <v>16</v>
      </c>
      <c r="D280" t="s" s="38">
        <v>63</v>
      </c>
      <c r="E280" t="s" s="38">
        <v>18</v>
      </c>
      <c r="F280" s="39">
        <v>25</v>
      </c>
      <c r="G280" s="40">
        <v>40.31</v>
      </c>
      <c r="H280" t="s" s="38">
        <v>19</v>
      </c>
      <c r="I280" s="41" cm="1">
        <f t="array" ref="I280">IF(F280=0,"",G280/F280)</f>
        <v>1.6124</v>
      </c>
      <c r="J280" t="str" s="42" cm="1">
        <f t="array" ref="J280">CHOOSE(MIN(6,INT(F280/20)+1),"0–20","20–40","40–60","60–80","80–100","100–120")</f>
        <v>20–40</v>
      </c>
      <c r="K280" t="str" s="42" cm="1">
        <f t="array" ref="K280">CHOOSE(MATCH(F280,{0;20;40;60;80;100}),"0–20","20–40","40–60","60–80","80–100","100–120")</f>
        <v>20–40</v>
      </c>
      <c r="L280" t="b" s="43" cm="1">
        <f t="array" ref="L280">ISBLANK(F280)</f>
        <v>0</v>
      </c>
    </row>
    <row r="281" ht="18.5" customHeight="1">
      <c r="A281" t="s" s="44">
        <v>324</v>
      </c>
      <c r="B281" s="45">
        <v>45933</v>
      </c>
      <c r="C281" t="s" s="46">
        <v>26</v>
      </c>
      <c r="D281" t="s" s="46">
        <v>38</v>
      </c>
      <c r="E281" t="s" s="46">
        <v>43</v>
      </c>
      <c r="F281" s="47">
        <v>61</v>
      </c>
      <c r="G281" s="48">
        <v>99.65000000000001</v>
      </c>
      <c r="H281" t="s" s="49">
        <v>24</v>
      </c>
      <c r="I281" s="50" cm="1">
        <f t="array" ref="I281">IF(F281=0,"",G281/F281)</f>
        <v>1.63360655737705</v>
      </c>
      <c r="J281" t="str" s="42" cm="1">
        <f t="array" ref="J281">CHOOSE(MIN(6,INT(F281/20)+1),"0–20","20–40","40–60","60–80","80–100","100–120")</f>
        <v>60–80</v>
      </c>
      <c r="K281" t="str" s="42" cm="1">
        <f t="array" ref="K281">CHOOSE(MATCH(F281,{0;20;40;60;80;100}),"0–20","20–40","40–60","60–80","80–100","100–120")</f>
        <v>60–80</v>
      </c>
      <c r="L281" t="b" s="43" cm="1">
        <f t="array" ref="L281">ISBLANK(F281)</f>
        <v>0</v>
      </c>
    </row>
    <row r="282" ht="18.5" customHeight="1">
      <c r="A282" t="s" s="36">
        <v>325</v>
      </c>
      <c r="B282" s="37">
        <v>45934</v>
      </c>
      <c r="C282" t="s" s="38">
        <v>16</v>
      </c>
      <c r="D282" t="s" s="38">
        <v>63</v>
      </c>
      <c r="E282" t="s" s="38">
        <v>65</v>
      </c>
      <c r="F282" s="39">
        <v>27</v>
      </c>
      <c r="G282" s="40">
        <v>42.25</v>
      </c>
      <c r="H282" t="s" s="38">
        <v>19</v>
      </c>
      <c r="I282" s="41" cm="1">
        <f t="array" ref="I282">IF(F282=0,"",G282/F282)</f>
        <v>1.56481481481481</v>
      </c>
      <c r="J282" t="str" s="42" cm="1">
        <f t="array" ref="J282">CHOOSE(MIN(6,INT(F282/20)+1),"0–20","20–40","40–60","60–80","80–100","100–120")</f>
        <v>20–40</v>
      </c>
      <c r="K282" t="str" s="42" cm="1">
        <f t="array" ref="K282">CHOOSE(MATCH(F282,{0;20;40;60;80;100}),"0–20","20–40","40–60","60–80","80–100","100–120")</f>
        <v>20–40</v>
      </c>
      <c r="L282" t="b" s="43" cm="1">
        <f t="array" ref="L282">ISBLANK(F282)</f>
        <v>0</v>
      </c>
    </row>
    <row r="283" ht="18.5" customHeight="1">
      <c r="A283" t="s" s="44">
        <v>326</v>
      </c>
      <c r="B283" s="45">
        <v>45934</v>
      </c>
      <c r="C283" t="s" s="46">
        <v>21</v>
      </c>
      <c r="D283" t="s" s="46">
        <v>22</v>
      </c>
      <c r="E283" t="s" s="46">
        <v>52</v>
      </c>
      <c r="F283" s="47">
        <v>14</v>
      </c>
      <c r="G283" s="48">
        <v>14.49</v>
      </c>
      <c r="H283" t="s" s="49">
        <v>19</v>
      </c>
      <c r="I283" s="50" cm="1">
        <f t="array" ref="I283">IF(F283=0,"",G283/F283)</f>
        <v>1.035</v>
      </c>
      <c r="J283" t="str" s="42" cm="1">
        <f t="array" ref="J283">CHOOSE(MIN(6,INT(F283/20)+1),"0–20","20–40","40–60","60–80","80–100","100–120")</f>
        <v>0–20</v>
      </c>
      <c r="K283" t="str" s="42" cm="1">
        <f t="array" ref="K283">CHOOSE(MATCH(F283,{0;20;40;60;80;100}),"0–20","20–40","40–60","60–80","80–100","100–120")</f>
        <v>0–20</v>
      </c>
      <c r="L283" t="b" s="43" cm="1">
        <f t="array" ref="L283">ISBLANK(F283)</f>
        <v>0</v>
      </c>
    </row>
    <row r="284" ht="18.5" customHeight="1">
      <c r="A284" t="s" s="36">
        <v>327</v>
      </c>
      <c r="B284" s="37">
        <v>45934</v>
      </c>
      <c r="C284" t="s" s="38">
        <v>26</v>
      </c>
      <c r="D284" t="s" s="38">
        <v>38</v>
      </c>
      <c r="E284" t="s" s="38">
        <v>28</v>
      </c>
      <c r="F284" s="39">
        <v>23</v>
      </c>
      <c r="G284" s="40">
        <v>38.09</v>
      </c>
      <c r="H284" t="s" s="38">
        <v>19</v>
      </c>
      <c r="I284" s="41" cm="1">
        <f t="array" ref="I284">IF(F284=0,"",G284/F284)</f>
        <v>1.65608695652174</v>
      </c>
      <c r="J284" t="str" s="42" cm="1">
        <f t="array" ref="J284">CHOOSE(MIN(6,INT(F284/20)+1),"0–20","20–40","40–60","60–80","80–100","100–120")</f>
        <v>20–40</v>
      </c>
      <c r="K284" t="str" s="42" cm="1">
        <f t="array" ref="K284">CHOOSE(MATCH(F284,{0;20;40;60;80;100}),"0–20","20–40","40–60","60–80","80–100","100–120")</f>
        <v>20–40</v>
      </c>
      <c r="L284" t="b" s="43" cm="1">
        <f t="array" ref="L284">ISBLANK(F284)</f>
        <v>0</v>
      </c>
    </row>
    <row r="285" ht="18.5" customHeight="1">
      <c r="A285" t="s" s="44">
        <v>328</v>
      </c>
      <c r="B285" s="45">
        <v>45935</v>
      </c>
      <c r="C285" t="s" s="46">
        <v>34</v>
      </c>
      <c r="D285" t="s" s="46">
        <v>47</v>
      </c>
      <c r="E285" t="s" s="46">
        <v>48</v>
      </c>
      <c r="F285" s="47">
        <v>57</v>
      </c>
      <c r="G285" s="48">
        <v>93.63</v>
      </c>
      <c r="H285" t="s" s="49">
        <v>19</v>
      </c>
      <c r="I285" s="50" cm="1">
        <f t="array" ref="I285">IF(F285=0,"",G285/F285)</f>
        <v>1.64263157894737</v>
      </c>
      <c r="J285" t="str" s="42" cm="1">
        <f t="array" ref="J285">CHOOSE(MIN(6,INT(F285/20)+1),"0–20","20–40","40–60","60–80","80–100","100–120")</f>
        <v>40–60</v>
      </c>
      <c r="K285" t="str" s="42" cm="1">
        <f t="array" ref="K285">CHOOSE(MATCH(F285,{0;20;40;60;80;100}),"0–20","20–40","40–60","60–80","80–100","100–120")</f>
        <v>40–60</v>
      </c>
      <c r="L285" t="b" s="43" cm="1">
        <f t="array" ref="L285">ISBLANK(F285)</f>
        <v>0</v>
      </c>
    </row>
    <row r="286" ht="18.5" customHeight="1">
      <c r="A286" t="s" s="36">
        <v>329</v>
      </c>
      <c r="B286" s="37">
        <v>45936</v>
      </c>
      <c r="C286" t="s" s="38">
        <v>16</v>
      </c>
      <c r="D286" t="s" s="38">
        <v>63</v>
      </c>
      <c r="E286" t="s" s="38">
        <v>65</v>
      </c>
      <c r="F286" s="39">
        <v>22</v>
      </c>
      <c r="G286" s="40">
        <v>38.87</v>
      </c>
      <c r="H286" t="s" s="38">
        <v>19</v>
      </c>
      <c r="I286" s="41" cm="1">
        <f t="array" ref="I286">IF(F286=0,"",G286/F286)</f>
        <v>1.76681818181818</v>
      </c>
      <c r="J286" t="str" s="42" cm="1">
        <f t="array" ref="J286">CHOOSE(MIN(6,INT(F286/20)+1),"0–20","20–40","40–60","60–80","80–100","100–120")</f>
        <v>20–40</v>
      </c>
      <c r="K286" t="str" s="42" cm="1">
        <f t="array" ref="K286">CHOOSE(MATCH(F286,{0;20;40;60;80;100}),"0–20","20–40","40–60","60–80","80–100","100–120")</f>
        <v>20–40</v>
      </c>
      <c r="L286" t="b" s="43" cm="1">
        <f t="array" ref="L286">ISBLANK(F286)</f>
        <v>0</v>
      </c>
    </row>
    <row r="287" ht="18.5" customHeight="1">
      <c r="A287" t="s" s="44">
        <v>330</v>
      </c>
      <c r="B287" s="45">
        <v>45936</v>
      </c>
      <c r="C287" t="s" s="46">
        <v>26</v>
      </c>
      <c r="D287" t="s" s="46">
        <v>45</v>
      </c>
      <c r="E287" t="s" s="46">
        <v>28</v>
      </c>
      <c r="F287" s="47">
        <v>40</v>
      </c>
      <c r="G287" s="48">
        <v>68.70999999999999</v>
      </c>
      <c r="H287" t="s" s="49">
        <v>19</v>
      </c>
      <c r="I287" s="50" cm="1">
        <f t="array" ref="I287">IF(F287=0,"",G287/F287)</f>
        <v>1.71775</v>
      </c>
      <c r="J287" t="str" s="42" cm="1">
        <f t="array" ref="J287">CHOOSE(MIN(6,INT(F287/20)+1),"0–20","20–40","40–60","60–80","80–100","100–120")</f>
        <v>40–60</v>
      </c>
      <c r="K287" t="str" s="42" cm="1">
        <f t="array" ref="K287">CHOOSE(MATCH(F287,{0;20;40;60;80;100}),"0–20","20–40","40–60","60–80","80–100","100–120")</f>
        <v>40–60</v>
      </c>
      <c r="L287" t="b" s="43" cm="1">
        <f t="array" ref="L287">ISBLANK(F287)</f>
        <v>0</v>
      </c>
    </row>
    <row r="288" ht="18.5" customHeight="1">
      <c r="A288" t="s" s="36">
        <v>331</v>
      </c>
      <c r="B288" s="37">
        <v>45936</v>
      </c>
      <c r="C288" t="s" s="38">
        <v>30</v>
      </c>
      <c r="D288" t="s" s="38">
        <v>42</v>
      </c>
      <c r="E288" t="s" s="38">
        <v>43</v>
      </c>
      <c r="F288" s="39">
        <v>33</v>
      </c>
      <c r="G288" s="40">
        <v>37.53</v>
      </c>
      <c r="H288" t="s" s="38">
        <v>19</v>
      </c>
      <c r="I288" s="41" cm="1">
        <f t="array" ref="I288">IF(F288=0,"",G288/F288)</f>
        <v>1.13727272727273</v>
      </c>
      <c r="J288" t="str" s="42" cm="1">
        <f t="array" ref="J288">CHOOSE(MIN(6,INT(F288/20)+1),"0–20","20–40","40–60","60–80","80–100","100–120")</f>
        <v>20–40</v>
      </c>
      <c r="K288" t="str" s="42" cm="1">
        <f t="array" ref="K288">CHOOSE(MATCH(F288,{0;20;40;60;80;100}),"0–20","20–40","40–60","60–80","80–100","100–120")</f>
        <v>20–40</v>
      </c>
      <c r="L288" t="b" s="43" cm="1">
        <f t="array" ref="L288">ISBLANK(F288)</f>
        <v>0</v>
      </c>
    </row>
    <row r="289" ht="18.5" customHeight="1">
      <c r="A289" t="s" s="44">
        <v>332</v>
      </c>
      <c r="B289" s="45">
        <v>45937</v>
      </c>
      <c r="C289" t="s" s="46">
        <v>34</v>
      </c>
      <c r="D289" t="s" s="46">
        <v>47</v>
      </c>
      <c r="E289" t="s" s="46">
        <v>48</v>
      </c>
      <c r="F289" s="47">
        <v>74</v>
      </c>
      <c r="G289" s="48">
        <v>120.87</v>
      </c>
      <c r="H289" t="s" s="49">
        <v>24</v>
      </c>
      <c r="I289" s="50" cm="1">
        <f t="array" ref="I289">IF(F289=0,"",G289/F289)</f>
        <v>1.63337837837838</v>
      </c>
      <c r="J289" t="str" s="42" cm="1">
        <f t="array" ref="J289">CHOOSE(MIN(6,INT(F289/20)+1),"0–20","20–40","40–60","60–80","80–100","100–120")</f>
        <v>60–80</v>
      </c>
      <c r="K289" t="str" s="42" cm="1">
        <f t="array" ref="K289">CHOOSE(MATCH(F289,{0;20;40;60;80;100}),"0–20","20–40","40–60","60–80","80–100","100–120")</f>
        <v>60–80</v>
      </c>
      <c r="L289" t="b" s="43" cm="1">
        <f t="array" ref="L289">ISBLANK(F289)</f>
        <v>0</v>
      </c>
    </row>
    <row r="290" ht="18.5" customHeight="1">
      <c r="A290" t="s" s="36">
        <v>333</v>
      </c>
      <c r="B290" s="37">
        <v>45937</v>
      </c>
      <c r="C290" t="s" s="38">
        <v>16</v>
      </c>
      <c r="D290" t="s" s="38">
        <v>63</v>
      </c>
      <c r="E290" t="s" s="38">
        <v>18</v>
      </c>
      <c r="F290" s="39">
        <v>6</v>
      </c>
      <c r="G290" s="40">
        <v>9.17</v>
      </c>
      <c r="H290" t="s" s="38">
        <v>19</v>
      </c>
      <c r="I290" s="41" cm="1">
        <f t="array" ref="I290">IF(F290=0,"",G290/F290)</f>
        <v>1.52833333333333</v>
      </c>
      <c r="J290" t="str" s="42" cm="1">
        <f t="array" ref="J290">CHOOSE(MIN(6,INT(F290/20)+1),"0–20","20–40","40–60","60–80","80–100","100–120")</f>
        <v>0–20</v>
      </c>
      <c r="K290" t="str" s="42" cm="1">
        <f t="array" ref="K290">CHOOSE(MATCH(F290,{0;20;40;60;80;100}),"0–20","20–40","40–60","60–80","80–100","100–120")</f>
        <v>0–20</v>
      </c>
      <c r="L290" t="b" s="43" cm="1">
        <f t="array" ref="L290">ISBLANK(F290)</f>
        <v>0</v>
      </c>
    </row>
    <row r="291" ht="18.5" customHeight="1">
      <c r="A291" t="s" s="44">
        <v>334</v>
      </c>
      <c r="B291" s="45">
        <v>45937</v>
      </c>
      <c r="C291" t="s" s="46">
        <v>26</v>
      </c>
      <c r="D291" t="s" s="46">
        <v>27</v>
      </c>
      <c r="E291" t="s" s="46">
        <v>28</v>
      </c>
      <c r="F291" s="47">
        <v>45</v>
      </c>
      <c r="G291" s="48">
        <v>77.3</v>
      </c>
      <c r="H291" t="s" s="49">
        <v>19</v>
      </c>
      <c r="I291" s="50" cm="1">
        <f t="array" ref="I291">IF(F291=0,"",G291/F291)</f>
        <v>1.71777777777778</v>
      </c>
      <c r="J291" t="str" s="42" cm="1">
        <f t="array" ref="J291">CHOOSE(MIN(6,INT(F291/20)+1),"0–20","20–40","40–60","60–80","80–100","100–120")</f>
        <v>40–60</v>
      </c>
      <c r="K291" t="str" s="42" cm="1">
        <f t="array" ref="K291">CHOOSE(MATCH(F291,{0;20;40;60;80;100}),"0–20","20–40","40–60","60–80","80–100","100–120")</f>
        <v>40–60</v>
      </c>
      <c r="L291" t="b" s="43" cm="1">
        <f t="array" ref="L291">ISBLANK(F291)</f>
        <v>0</v>
      </c>
    </row>
    <row r="292" ht="18.5" customHeight="1">
      <c r="A292" t="s" s="36">
        <v>335</v>
      </c>
      <c r="B292" s="37">
        <v>45939</v>
      </c>
      <c r="C292" t="s" s="38">
        <v>26</v>
      </c>
      <c r="D292" t="s" s="38">
        <v>27</v>
      </c>
      <c r="E292" t="s" s="38">
        <v>43</v>
      </c>
      <c r="F292" s="39">
        <v>33</v>
      </c>
      <c r="G292" s="40">
        <v>52.11</v>
      </c>
      <c r="H292" t="s" s="38">
        <v>19</v>
      </c>
      <c r="I292" s="41" cm="1">
        <f t="array" ref="I292">IF(F292=0,"",G292/F292)</f>
        <v>1.57909090909091</v>
      </c>
      <c r="J292" t="str" s="42" cm="1">
        <f t="array" ref="J292">CHOOSE(MIN(6,INT(F292/20)+1),"0–20","20–40","40–60","60–80","80–100","100–120")</f>
        <v>20–40</v>
      </c>
      <c r="K292" t="str" s="42" cm="1">
        <f t="array" ref="K292">CHOOSE(MATCH(F292,{0;20;40;60;80;100}),"0–20","20–40","40–60","60–80","80–100","100–120")</f>
        <v>20–40</v>
      </c>
      <c r="L292" t="b" s="43" cm="1">
        <f t="array" ref="L292">ISBLANK(F292)</f>
        <v>0</v>
      </c>
    </row>
    <row r="293" ht="18.5" customHeight="1">
      <c r="A293" t="s" s="44">
        <v>336</v>
      </c>
      <c r="B293" s="45">
        <v>45939</v>
      </c>
      <c r="C293" t="s" s="46">
        <v>21</v>
      </c>
      <c r="D293" t="s" s="46">
        <v>51</v>
      </c>
      <c r="E293" t="s" s="46">
        <v>23</v>
      </c>
      <c r="F293" s="47">
        <v>28</v>
      </c>
      <c r="G293" s="48">
        <v>32.75</v>
      </c>
      <c r="H293" t="s" s="49">
        <v>19</v>
      </c>
      <c r="I293" s="50" cm="1">
        <f t="array" ref="I293">IF(F293=0,"",G293/F293)</f>
        <v>1.16964285714286</v>
      </c>
      <c r="J293" t="str" s="42" cm="1">
        <f t="array" ref="J293">CHOOSE(MIN(6,INT(F293/20)+1),"0–20","20–40","40–60","60–80","80–100","100–120")</f>
        <v>20–40</v>
      </c>
      <c r="K293" t="str" s="42" cm="1">
        <f t="array" ref="K293">CHOOSE(MATCH(F293,{0;20;40;60;80;100}),"0–20","20–40","40–60","60–80","80–100","100–120")</f>
        <v>20–40</v>
      </c>
      <c r="L293" t="b" s="43" cm="1">
        <f t="array" ref="L293">ISBLANK(F293)</f>
        <v>0</v>
      </c>
    </row>
    <row r="294" ht="18.5" customHeight="1">
      <c r="A294" t="s" s="36">
        <v>337</v>
      </c>
      <c r="B294" s="37">
        <v>45940</v>
      </c>
      <c r="C294" t="s" s="38">
        <v>30</v>
      </c>
      <c r="D294" t="s" s="38">
        <v>42</v>
      </c>
      <c r="E294" t="s" s="38">
        <v>32</v>
      </c>
      <c r="F294" s="39">
        <v>17</v>
      </c>
      <c r="G294" s="40">
        <v>20.57</v>
      </c>
      <c r="H294" t="s" s="38">
        <v>19</v>
      </c>
      <c r="I294" s="41" cm="1">
        <f t="array" ref="I294">IF(F294=0,"",G294/F294)</f>
        <v>1.21</v>
      </c>
      <c r="J294" t="str" s="42" cm="1">
        <f t="array" ref="J294">CHOOSE(MIN(6,INT(F294/20)+1),"0–20","20–40","40–60","60–80","80–100","100–120")</f>
        <v>0–20</v>
      </c>
      <c r="K294" t="str" s="42" cm="1">
        <f t="array" ref="K294">CHOOSE(MATCH(F294,{0;20;40;60;80;100}),"0–20","20–40","40–60","60–80","80–100","100–120")</f>
        <v>0–20</v>
      </c>
      <c r="L294" t="b" s="43" cm="1">
        <f t="array" ref="L294">ISBLANK(F294)</f>
        <v>0</v>
      </c>
    </row>
    <row r="295" ht="18.5" customHeight="1">
      <c r="A295" t="s" s="44">
        <v>338</v>
      </c>
      <c r="B295" s="45">
        <v>45941</v>
      </c>
      <c r="C295" t="s" s="46">
        <v>34</v>
      </c>
      <c r="D295" t="s" s="46">
        <v>47</v>
      </c>
      <c r="E295" t="s" s="46">
        <v>36</v>
      </c>
      <c r="F295" s="47">
        <v>70</v>
      </c>
      <c r="G295" s="48">
        <v>141.84</v>
      </c>
      <c r="H295" t="s" s="49">
        <v>24</v>
      </c>
      <c r="I295" s="50" cm="1">
        <f t="array" ref="I295">IF(F295=0,"",G295/F295)</f>
        <v>2.02628571428571</v>
      </c>
      <c r="J295" t="str" s="42" cm="1">
        <f t="array" ref="J295">CHOOSE(MIN(6,INT(F295/20)+1),"0–20","20–40","40–60","60–80","80–100","100–120")</f>
        <v>60–80</v>
      </c>
      <c r="K295" t="str" s="42" cm="1">
        <f t="array" ref="K295">CHOOSE(MATCH(F295,{0;20;40;60;80;100}),"0–20","20–40","40–60","60–80","80–100","100–120")</f>
        <v>60–80</v>
      </c>
      <c r="L295" t="b" s="43" cm="1">
        <f t="array" ref="L295">ISBLANK(F295)</f>
        <v>0</v>
      </c>
    </row>
    <row r="296" ht="18.5" customHeight="1">
      <c r="A296" t="s" s="36">
        <v>339</v>
      </c>
      <c r="B296" s="37">
        <v>45942</v>
      </c>
      <c r="C296" t="s" s="38">
        <v>30</v>
      </c>
      <c r="D296" t="s" s="38">
        <v>31</v>
      </c>
      <c r="E296" t="s" s="38">
        <v>43</v>
      </c>
      <c r="F296" s="39">
        <v>17</v>
      </c>
      <c r="G296" s="40">
        <v>19.99</v>
      </c>
      <c r="H296" t="s" s="38">
        <v>19</v>
      </c>
      <c r="I296" s="41" cm="1">
        <f t="array" ref="I296">IF(F296=0,"",G296/F296)</f>
        <v>1.17588235294118</v>
      </c>
      <c r="J296" t="str" s="42" cm="1">
        <f t="array" ref="J296">CHOOSE(MIN(6,INT(F296/20)+1),"0–20","20–40","40–60","60–80","80–100","100–120")</f>
        <v>0–20</v>
      </c>
      <c r="K296" t="str" s="42" cm="1">
        <f t="array" ref="K296">CHOOSE(MATCH(F296,{0;20;40;60;80;100}),"0–20","20–40","40–60","60–80","80–100","100–120")</f>
        <v>0–20</v>
      </c>
      <c r="L296" t="b" s="43" cm="1">
        <f t="array" ref="L296">ISBLANK(F296)</f>
        <v>0</v>
      </c>
    </row>
    <row r="297" ht="18.5" customHeight="1">
      <c r="A297" t="s" s="44">
        <v>340</v>
      </c>
      <c r="B297" s="45">
        <v>45943</v>
      </c>
      <c r="C297" t="s" s="46">
        <v>21</v>
      </c>
      <c r="D297" t="s" s="46">
        <v>51</v>
      </c>
      <c r="E297" t="s" s="46">
        <v>52</v>
      </c>
      <c r="F297" s="47">
        <v>19</v>
      </c>
      <c r="G297" s="48">
        <v>22.36</v>
      </c>
      <c r="H297" t="s" s="49">
        <v>19</v>
      </c>
      <c r="I297" s="50" cm="1">
        <f t="array" ref="I297">IF(F297=0,"",G297/F297)</f>
        <v>1.17684210526316</v>
      </c>
      <c r="J297" t="str" s="42" cm="1">
        <f t="array" ref="J297">CHOOSE(MIN(6,INT(F297/20)+1),"0–20","20–40","40–60","60–80","80–100","100–120")</f>
        <v>0–20</v>
      </c>
      <c r="K297" t="str" s="42" cm="1">
        <f t="array" ref="K297">CHOOSE(MATCH(F297,{0;20;40;60;80;100}),"0–20","20–40","40–60","60–80","80–100","100–120")</f>
        <v>0–20</v>
      </c>
      <c r="L297" t="b" s="43" cm="1">
        <f t="array" ref="L297">ISBLANK(F297)</f>
        <v>0</v>
      </c>
    </row>
    <row r="298" ht="18.5" customHeight="1">
      <c r="A298" t="s" s="36">
        <v>341</v>
      </c>
      <c r="B298" s="37">
        <v>45945</v>
      </c>
      <c r="C298" t="s" s="38">
        <v>26</v>
      </c>
      <c r="D298" t="s" s="38">
        <v>27</v>
      </c>
      <c r="E298" t="s" s="38">
        <v>28</v>
      </c>
      <c r="F298" s="39">
        <v>23</v>
      </c>
      <c r="G298" s="40">
        <v>35.05</v>
      </c>
      <c r="H298" t="s" s="38">
        <v>19</v>
      </c>
      <c r="I298" s="41" cm="1">
        <f t="array" ref="I298">IF(F298=0,"",G298/F298)</f>
        <v>1.52391304347826</v>
      </c>
      <c r="J298" t="str" s="42" cm="1">
        <f t="array" ref="J298">CHOOSE(MIN(6,INT(F298/20)+1),"0–20","20–40","40–60","60–80","80–100","100–120")</f>
        <v>20–40</v>
      </c>
      <c r="K298" t="str" s="42" cm="1">
        <f t="array" ref="K298">CHOOSE(MATCH(F298,{0;20;40;60;80;100}),"0–20","20–40","40–60","60–80","80–100","100–120")</f>
        <v>20–40</v>
      </c>
      <c r="L298" t="b" s="43" cm="1">
        <f t="array" ref="L298">ISBLANK(F298)</f>
        <v>0</v>
      </c>
    </row>
    <row r="299" ht="18.5" customHeight="1">
      <c r="A299" t="s" s="44">
        <v>342</v>
      </c>
      <c r="B299" s="45">
        <v>45945</v>
      </c>
      <c r="C299" t="s" s="46">
        <v>26</v>
      </c>
      <c r="D299" t="s" s="46">
        <v>38</v>
      </c>
      <c r="E299" t="s" s="46">
        <v>39</v>
      </c>
      <c r="F299" s="47">
        <v>22</v>
      </c>
      <c r="G299" s="48">
        <v>35.89</v>
      </c>
      <c r="H299" t="s" s="49">
        <v>19</v>
      </c>
      <c r="I299" s="50" cm="1">
        <f t="array" ref="I299">IF(F299=0,"",G299/F299)</f>
        <v>1.63136363636364</v>
      </c>
      <c r="J299" t="str" s="42" cm="1">
        <f t="array" ref="J299">CHOOSE(MIN(6,INT(F299/20)+1),"0–20","20–40","40–60","60–80","80–100","100–120")</f>
        <v>20–40</v>
      </c>
      <c r="K299" t="str" s="42" cm="1">
        <f t="array" ref="K299">CHOOSE(MATCH(F299,{0;20;40;60;80;100}),"0–20","20–40","40–60","60–80","80–100","100–120")</f>
        <v>20–40</v>
      </c>
      <c r="L299" t="b" s="43" cm="1">
        <f t="array" ref="L299">ISBLANK(F299)</f>
        <v>0</v>
      </c>
    </row>
    <row r="300" ht="18.5" customHeight="1">
      <c r="A300" t="s" s="36">
        <v>343</v>
      </c>
      <c r="B300" s="37">
        <v>45947</v>
      </c>
      <c r="C300" t="s" s="38">
        <v>26</v>
      </c>
      <c r="D300" t="s" s="38">
        <v>27</v>
      </c>
      <c r="E300" t="s" s="38">
        <v>28</v>
      </c>
      <c r="F300" s="39">
        <v>25</v>
      </c>
      <c r="G300" s="40">
        <v>39.25</v>
      </c>
      <c r="H300" t="s" s="38">
        <v>19</v>
      </c>
      <c r="I300" s="41" cm="1">
        <f t="array" ref="I300">IF(F300=0,"",G300/F300)</f>
        <v>1.57</v>
      </c>
      <c r="J300" t="str" s="42" cm="1">
        <f t="array" ref="J300">CHOOSE(MIN(6,INT(F300/20)+1),"0–20","20–40","40–60","60–80","80–100","100–120")</f>
        <v>20–40</v>
      </c>
      <c r="K300" t="str" s="42" cm="1">
        <f t="array" ref="K300">CHOOSE(MATCH(F300,{0;20;40;60;80;100}),"0–20","20–40","40–60","60–80","80–100","100–120")</f>
        <v>20–40</v>
      </c>
      <c r="L300" t="b" s="43" cm="1">
        <f t="array" ref="L300">ISBLANK(F300)</f>
        <v>0</v>
      </c>
    </row>
    <row r="301" ht="18.5" customHeight="1">
      <c r="A301" t="s" s="44">
        <v>344</v>
      </c>
      <c r="B301" s="45">
        <v>45947</v>
      </c>
      <c r="C301" t="s" s="46">
        <v>30</v>
      </c>
      <c r="D301" t="s" s="46">
        <v>31</v>
      </c>
      <c r="E301" t="s" s="46">
        <v>43</v>
      </c>
      <c r="F301" s="47">
        <v>21</v>
      </c>
      <c r="G301" s="48">
        <v>25.63</v>
      </c>
      <c r="H301" t="s" s="49">
        <v>19</v>
      </c>
      <c r="I301" s="50" cm="1">
        <f t="array" ref="I301">IF(F301=0,"",G301/F301)</f>
        <v>1.22047619047619</v>
      </c>
      <c r="J301" t="str" s="42" cm="1">
        <f t="array" ref="J301">CHOOSE(MIN(6,INT(F301/20)+1),"0–20","20–40","40–60","60–80","80–100","100–120")</f>
        <v>20–40</v>
      </c>
      <c r="K301" t="str" s="42" cm="1">
        <f t="array" ref="K301">CHOOSE(MATCH(F301,{0;20;40;60;80;100}),"0–20","20–40","40–60","60–80","80–100","100–120")</f>
        <v>20–40</v>
      </c>
      <c r="L301" t="b" s="43" cm="1">
        <f t="array" ref="L301">ISBLANK(F301)</f>
        <v>0</v>
      </c>
    </row>
    <row r="302" ht="18.5" customHeight="1">
      <c r="A302" t="s" s="36">
        <v>345</v>
      </c>
      <c r="B302" s="37">
        <v>45947</v>
      </c>
      <c r="C302" t="s" s="38">
        <v>21</v>
      </c>
      <c r="D302" t="s" s="38">
        <v>51</v>
      </c>
      <c r="E302" t="s" s="38">
        <v>52</v>
      </c>
      <c r="F302" s="39">
        <v>20</v>
      </c>
      <c r="G302" s="40">
        <v>24.86</v>
      </c>
      <c r="H302" t="s" s="38">
        <v>19</v>
      </c>
      <c r="I302" s="41" cm="1">
        <f t="array" ref="I302">IF(F302=0,"",G302/F302)</f>
        <v>1.243</v>
      </c>
      <c r="J302" t="str" s="42" cm="1">
        <f t="array" ref="J302">CHOOSE(MIN(6,INT(F302/20)+1),"0–20","20–40","40–60","60–80","80–100","100–120")</f>
        <v>20–40</v>
      </c>
      <c r="K302" t="str" s="42" cm="1">
        <f t="array" ref="K302">CHOOSE(MATCH(F302,{0;20;40;60;80;100}),"0–20","20–40","40–60","60–80","80–100","100–120")</f>
        <v>20–40</v>
      </c>
      <c r="L302" t="b" s="43" cm="1">
        <f t="array" ref="L302">ISBLANK(F302)</f>
        <v>0</v>
      </c>
    </row>
    <row r="303" ht="18.5" customHeight="1">
      <c r="A303" t="s" s="44">
        <v>346</v>
      </c>
      <c r="B303" s="45">
        <v>45948</v>
      </c>
      <c r="C303" t="s" s="46">
        <v>21</v>
      </c>
      <c r="D303" t="s" s="46">
        <v>22</v>
      </c>
      <c r="E303" t="s" s="46">
        <v>32</v>
      </c>
      <c r="F303" s="47">
        <v>22</v>
      </c>
      <c r="G303" s="48">
        <v>25.75</v>
      </c>
      <c r="H303" t="s" s="49">
        <v>19</v>
      </c>
      <c r="I303" s="50" cm="1">
        <f t="array" ref="I303">IF(F303=0,"",G303/F303)</f>
        <v>1.17045454545455</v>
      </c>
      <c r="J303" t="str" s="42" cm="1">
        <f t="array" ref="J303">CHOOSE(MIN(6,INT(F303/20)+1),"0–20","20–40","40–60","60–80","80–100","100–120")</f>
        <v>20–40</v>
      </c>
      <c r="K303" t="str" s="42" cm="1">
        <f t="array" ref="K303">CHOOSE(MATCH(F303,{0;20;40;60;80;100}),"0–20","20–40","40–60","60–80","80–100","100–120")</f>
        <v>20–40</v>
      </c>
      <c r="L303" t="b" s="43" cm="1">
        <f t="array" ref="L303">ISBLANK(F303)</f>
        <v>0</v>
      </c>
    </row>
    <row r="304" ht="18.5" customHeight="1">
      <c r="A304" t="s" s="36">
        <v>347</v>
      </c>
      <c r="B304" s="37">
        <v>45949</v>
      </c>
      <c r="C304" t="s" s="38">
        <v>26</v>
      </c>
      <c r="D304" t="s" s="38">
        <v>27</v>
      </c>
      <c r="E304" t="s" s="38">
        <v>28</v>
      </c>
      <c r="F304" s="39">
        <v>24</v>
      </c>
      <c r="G304" s="40">
        <v>37.65</v>
      </c>
      <c r="H304" t="s" s="38">
        <v>19</v>
      </c>
      <c r="I304" s="41" cm="1">
        <f t="array" ref="I304">IF(F304=0,"",G304/F304)</f>
        <v>1.56875</v>
      </c>
      <c r="J304" t="str" s="42" cm="1">
        <f t="array" ref="J304">CHOOSE(MIN(6,INT(F304/20)+1),"0–20","20–40","40–60","60–80","80–100","100–120")</f>
        <v>20–40</v>
      </c>
      <c r="K304" t="str" s="42" cm="1">
        <f t="array" ref="K304">CHOOSE(MATCH(F304,{0;20;40;60;80;100}),"0–20","20–40","40–60","60–80","80–100","100–120")</f>
        <v>20–40</v>
      </c>
      <c r="L304" t="b" s="43" cm="1">
        <f t="array" ref="L304">ISBLANK(F304)</f>
        <v>0</v>
      </c>
    </row>
    <row r="305" ht="18.5" customHeight="1">
      <c r="A305" t="s" s="44">
        <v>348</v>
      </c>
      <c r="B305" s="45">
        <v>45949</v>
      </c>
      <c r="C305" t="s" s="46">
        <v>30</v>
      </c>
      <c r="D305" t="s" s="46">
        <v>31</v>
      </c>
      <c r="E305" t="s" s="46">
        <v>70</v>
      </c>
      <c r="F305" s="47">
        <v>36</v>
      </c>
      <c r="G305" s="48">
        <v>39.19</v>
      </c>
      <c r="H305" t="s" s="49">
        <v>19</v>
      </c>
      <c r="I305" s="50" cm="1">
        <f t="array" ref="I305">IF(F305=0,"",G305/F305)</f>
        <v>1.08861111111111</v>
      </c>
      <c r="J305" t="str" s="42" cm="1">
        <f t="array" ref="J305">CHOOSE(MIN(6,INT(F305/20)+1),"0–20","20–40","40–60","60–80","80–100","100–120")</f>
        <v>20–40</v>
      </c>
      <c r="K305" t="str" s="42" cm="1">
        <f t="array" ref="K305">CHOOSE(MATCH(F305,{0;20;40;60;80;100}),"0–20","20–40","40–60","60–80","80–100","100–120")</f>
        <v>20–40</v>
      </c>
      <c r="L305" t="b" s="43" cm="1">
        <f t="array" ref="L305">ISBLANK(F305)</f>
        <v>0</v>
      </c>
    </row>
    <row r="306" ht="18.5" customHeight="1">
      <c r="A306" t="s" s="36">
        <v>349</v>
      </c>
      <c r="B306" s="37">
        <v>45950</v>
      </c>
      <c r="C306" t="s" s="38">
        <v>26</v>
      </c>
      <c r="D306" t="s" s="38">
        <v>27</v>
      </c>
      <c r="E306" t="s" s="38">
        <v>28</v>
      </c>
      <c r="F306" s="39">
        <v>15</v>
      </c>
      <c r="G306" s="40">
        <v>21.88</v>
      </c>
      <c r="H306" t="s" s="38">
        <v>19</v>
      </c>
      <c r="I306" s="41" cm="1">
        <f t="array" ref="I306">IF(F306=0,"",G306/F306)</f>
        <v>1.45866666666667</v>
      </c>
      <c r="J306" t="str" s="42" cm="1">
        <f t="array" ref="J306">CHOOSE(MIN(6,INT(F306/20)+1),"0–20","20–40","40–60","60–80","80–100","100–120")</f>
        <v>0–20</v>
      </c>
      <c r="K306" t="str" s="42" cm="1">
        <f t="array" ref="K306">CHOOSE(MATCH(F306,{0;20;40;60;80;100}),"0–20","20–40","40–60","60–80","80–100","100–120")</f>
        <v>0–20</v>
      </c>
      <c r="L306" t="b" s="43" cm="1">
        <f t="array" ref="L306">ISBLANK(F306)</f>
        <v>0</v>
      </c>
    </row>
    <row r="307" ht="18.5" customHeight="1">
      <c r="A307" t="s" s="44">
        <v>350</v>
      </c>
      <c r="B307" s="45">
        <v>45951</v>
      </c>
      <c r="C307" t="s" s="46">
        <v>26</v>
      </c>
      <c r="D307" t="s" s="46">
        <v>45</v>
      </c>
      <c r="E307" t="s" s="46">
        <v>39</v>
      </c>
      <c r="F307" s="47">
        <v>23</v>
      </c>
      <c r="G307" s="48">
        <v>33.99</v>
      </c>
      <c r="H307" t="s" s="49">
        <v>19</v>
      </c>
      <c r="I307" s="50" cm="1">
        <f t="array" ref="I307">IF(F307=0,"",G307/F307)</f>
        <v>1.47782608695652</v>
      </c>
      <c r="J307" t="str" s="42" cm="1">
        <f t="array" ref="J307">CHOOSE(MIN(6,INT(F307/20)+1),"0–20","20–40","40–60","60–80","80–100","100–120")</f>
        <v>20–40</v>
      </c>
      <c r="K307" t="str" s="42" cm="1">
        <f t="array" ref="K307">CHOOSE(MATCH(F307,{0;20;40;60;80;100}),"0–20","20–40","40–60","60–80","80–100","100–120")</f>
        <v>20–40</v>
      </c>
      <c r="L307" t="b" s="43" cm="1">
        <f t="array" ref="L307">ISBLANK(F307)</f>
        <v>0</v>
      </c>
    </row>
    <row r="308" ht="18.5" customHeight="1">
      <c r="A308" t="s" s="36">
        <v>351</v>
      </c>
      <c r="B308" s="37">
        <v>45951</v>
      </c>
      <c r="C308" t="s" s="38">
        <v>26</v>
      </c>
      <c r="D308" t="s" s="38">
        <v>27</v>
      </c>
      <c r="E308" t="s" s="38">
        <v>28</v>
      </c>
      <c r="F308" s="39">
        <v>30</v>
      </c>
      <c r="G308" s="40">
        <v>43.98</v>
      </c>
      <c r="H308" t="s" s="38">
        <v>19</v>
      </c>
      <c r="I308" s="41" cm="1">
        <f t="array" ref="I308">IF(F308=0,"",G308/F308)</f>
        <v>1.466</v>
      </c>
      <c r="J308" t="str" s="42" cm="1">
        <f t="array" ref="J308">CHOOSE(MIN(6,INT(F308/20)+1),"0–20","20–40","40–60","60–80","80–100","100–120")</f>
        <v>20–40</v>
      </c>
      <c r="K308" t="str" s="42" cm="1">
        <f t="array" ref="K308">CHOOSE(MATCH(F308,{0;20;40;60;80;100}),"0–20","20–40","40–60","60–80","80–100","100–120")</f>
        <v>20–40</v>
      </c>
      <c r="L308" t="b" s="43" cm="1">
        <f t="array" ref="L308">ISBLANK(F308)</f>
        <v>0</v>
      </c>
    </row>
    <row r="309" ht="18.5" customHeight="1">
      <c r="A309" t="s" s="44">
        <v>352</v>
      </c>
      <c r="B309" s="45">
        <v>45951</v>
      </c>
      <c r="C309" t="s" s="46">
        <v>30</v>
      </c>
      <c r="D309" t="s" s="46">
        <v>42</v>
      </c>
      <c r="E309" t="s" s="46">
        <v>70</v>
      </c>
      <c r="F309" s="47">
        <v>30</v>
      </c>
      <c r="G309" s="48">
        <v>40.09</v>
      </c>
      <c r="H309" t="s" s="49">
        <v>19</v>
      </c>
      <c r="I309" s="50" cm="1">
        <f t="array" ref="I309">IF(F309=0,"",G309/F309)</f>
        <v>1.33633333333333</v>
      </c>
      <c r="J309" t="str" s="42" cm="1">
        <f t="array" ref="J309">CHOOSE(MIN(6,INT(F309/20)+1),"0–20","20–40","40–60","60–80","80–100","100–120")</f>
        <v>20–40</v>
      </c>
      <c r="K309" t="str" s="42" cm="1">
        <f t="array" ref="K309">CHOOSE(MATCH(F309,{0;20;40;60;80;100}),"0–20","20–40","40–60","60–80","80–100","100–120")</f>
        <v>20–40</v>
      </c>
      <c r="L309" t="b" s="43" cm="1">
        <f t="array" ref="L309">ISBLANK(F309)</f>
        <v>0</v>
      </c>
    </row>
    <row r="310" ht="18.5" customHeight="1">
      <c r="A310" t="s" s="36">
        <v>353</v>
      </c>
      <c r="B310" s="37">
        <v>45952</v>
      </c>
      <c r="C310" t="s" s="38">
        <v>30</v>
      </c>
      <c r="D310" t="s" s="38">
        <v>42</v>
      </c>
      <c r="E310" t="s" s="38">
        <v>43</v>
      </c>
      <c r="F310" s="39">
        <v>29</v>
      </c>
      <c r="G310" s="40">
        <v>38.47</v>
      </c>
      <c r="H310" t="s" s="38">
        <v>19</v>
      </c>
      <c r="I310" s="41" cm="1">
        <f t="array" ref="I310">IF(F310=0,"",G310/F310)</f>
        <v>1.32655172413793</v>
      </c>
      <c r="J310" t="str" s="42" cm="1">
        <f t="array" ref="J310">CHOOSE(MIN(6,INT(F310/20)+1),"0–20","20–40","40–60","60–80","80–100","100–120")</f>
        <v>20–40</v>
      </c>
      <c r="K310" t="str" s="42" cm="1">
        <f t="array" ref="K310">CHOOSE(MATCH(F310,{0;20;40;60;80;100}),"0–20","20–40","40–60","60–80","80–100","100–120")</f>
        <v>20–40</v>
      </c>
      <c r="L310" t="b" s="43" cm="1">
        <f t="array" ref="L310">ISBLANK(F310)</f>
        <v>0</v>
      </c>
    </row>
    <row r="311" ht="18.5" customHeight="1">
      <c r="A311" t="s" s="44">
        <v>354</v>
      </c>
      <c r="B311" s="45">
        <v>45952</v>
      </c>
      <c r="C311" t="s" s="46">
        <v>26</v>
      </c>
      <c r="D311" t="s" s="46">
        <v>27</v>
      </c>
      <c r="E311" t="s" s="46">
        <v>43</v>
      </c>
      <c r="F311" s="47">
        <v>35</v>
      </c>
      <c r="G311" s="48">
        <v>57.99</v>
      </c>
      <c r="H311" t="s" s="49">
        <v>19</v>
      </c>
      <c r="I311" s="50" cm="1">
        <f t="array" ref="I311">IF(F311=0,"",G311/F311)</f>
        <v>1.65685714285714</v>
      </c>
      <c r="J311" t="str" s="42" cm="1">
        <f t="array" ref="J311">CHOOSE(MIN(6,INT(F311/20)+1),"0–20","20–40","40–60","60–80","80–100","100–120")</f>
        <v>20–40</v>
      </c>
      <c r="K311" t="str" s="42" cm="1">
        <f t="array" ref="K311">CHOOSE(MATCH(F311,{0;20;40;60;80;100}),"0–20","20–40","40–60","60–80","80–100","100–120")</f>
        <v>20–40</v>
      </c>
      <c r="L311" t="b" s="43" cm="1">
        <f t="array" ref="L311">ISBLANK(F311)</f>
        <v>0</v>
      </c>
    </row>
    <row r="312" ht="18.5" customHeight="1">
      <c r="A312" t="s" s="36">
        <v>355</v>
      </c>
      <c r="B312" s="37">
        <v>45953</v>
      </c>
      <c r="C312" t="s" s="38">
        <v>34</v>
      </c>
      <c r="D312" t="s" s="38">
        <v>35</v>
      </c>
      <c r="E312" t="s" s="38">
        <v>59</v>
      </c>
      <c r="F312" s="39">
        <v>26</v>
      </c>
      <c r="G312" s="40">
        <v>45.37</v>
      </c>
      <c r="H312" t="s" s="38">
        <v>19</v>
      </c>
      <c r="I312" s="41" cm="1">
        <f t="array" ref="I312">IF(F312=0,"",G312/F312)</f>
        <v>1.745</v>
      </c>
      <c r="J312" t="str" s="42" cm="1">
        <f t="array" ref="J312">CHOOSE(MIN(6,INT(F312/20)+1),"0–20","20–40","40–60","60–80","80–100","100–120")</f>
        <v>20–40</v>
      </c>
      <c r="K312" t="str" s="42" cm="1">
        <f t="array" ref="K312">CHOOSE(MATCH(F312,{0;20;40;60;80;100}),"0–20","20–40","40–60","60–80","80–100","100–120")</f>
        <v>20–40</v>
      </c>
      <c r="L312" t="b" s="43" cm="1">
        <f t="array" ref="L312">ISBLANK(F312)</f>
        <v>0</v>
      </c>
    </row>
    <row r="313" ht="18.5" customHeight="1">
      <c r="A313" t="s" s="44">
        <v>356</v>
      </c>
      <c r="B313" s="45">
        <v>45953</v>
      </c>
      <c r="C313" t="s" s="46">
        <v>16</v>
      </c>
      <c r="D313" t="s" s="46">
        <v>63</v>
      </c>
      <c r="E313" t="s" s="46">
        <v>36</v>
      </c>
      <c r="F313" s="47">
        <v>24</v>
      </c>
      <c r="G313" s="48">
        <v>39.34</v>
      </c>
      <c r="H313" t="s" s="49">
        <v>19</v>
      </c>
      <c r="I313" s="50" cm="1">
        <f t="array" ref="I313">IF(F313=0,"",G313/F313)</f>
        <v>1.63916666666667</v>
      </c>
      <c r="J313" t="str" s="42" cm="1">
        <f t="array" ref="J313">CHOOSE(MIN(6,INT(F313/20)+1),"0–20","20–40","40–60","60–80","80–100","100–120")</f>
        <v>20–40</v>
      </c>
      <c r="K313" t="str" s="42" cm="1">
        <f t="array" ref="K313">CHOOSE(MATCH(F313,{0;20;40;60;80;100}),"0–20","20–40","40–60","60–80","80–100","100–120")</f>
        <v>20–40</v>
      </c>
      <c r="L313" t="b" s="43" cm="1">
        <f t="array" ref="L313">ISBLANK(F313)</f>
        <v>0</v>
      </c>
    </row>
    <row r="314" ht="18.5" customHeight="1">
      <c r="A314" t="s" s="36">
        <v>357</v>
      </c>
      <c r="B314" s="37">
        <v>45954</v>
      </c>
      <c r="C314" t="s" s="38">
        <v>30</v>
      </c>
      <c r="D314" t="s" s="38">
        <v>42</v>
      </c>
      <c r="E314" t="s" s="38">
        <v>43</v>
      </c>
      <c r="F314" s="39">
        <v>13</v>
      </c>
      <c r="G314" s="40">
        <v>16.85</v>
      </c>
      <c r="H314" t="s" s="38">
        <v>19</v>
      </c>
      <c r="I314" s="41" cm="1">
        <f t="array" ref="I314">IF(F314=0,"",G314/F314)</f>
        <v>1.29615384615385</v>
      </c>
      <c r="J314" t="str" s="42" cm="1">
        <f t="array" ref="J314">CHOOSE(MIN(6,INT(F314/20)+1),"0–20","20–40","40–60","60–80","80–100","100–120")</f>
        <v>0–20</v>
      </c>
      <c r="K314" t="str" s="42" cm="1">
        <f t="array" ref="K314">CHOOSE(MATCH(F314,{0;20;40;60;80;100}),"0–20","20–40","40–60","60–80","80–100","100–120")</f>
        <v>0–20</v>
      </c>
      <c r="L314" t="b" s="43" cm="1">
        <f t="array" ref="L314">ISBLANK(F314)</f>
        <v>0</v>
      </c>
    </row>
    <row r="315" ht="18.5" customHeight="1">
      <c r="A315" t="s" s="44">
        <v>358</v>
      </c>
      <c r="B315" s="45">
        <v>45954</v>
      </c>
      <c r="C315" t="s" s="46">
        <v>16</v>
      </c>
      <c r="D315" t="s" s="46">
        <v>17</v>
      </c>
      <c r="E315" t="s" s="46">
        <v>36</v>
      </c>
      <c r="F315" s="47">
        <v>37</v>
      </c>
      <c r="G315" s="48">
        <v>56.18</v>
      </c>
      <c r="H315" t="s" s="49">
        <v>19</v>
      </c>
      <c r="I315" s="50" cm="1">
        <f t="array" ref="I315">IF(F315=0,"",G315/F315)</f>
        <v>1.51837837837838</v>
      </c>
      <c r="J315" t="str" s="42" cm="1">
        <f t="array" ref="J315">CHOOSE(MIN(6,INT(F315/20)+1),"0–20","20–40","40–60","60–80","80–100","100–120")</f>
        <v>20–40</v>
      </c>
      <c r="K315" t="str" s="42" cm="1">
        <f t="array" ref="K315">CHOOSE(MATCH(F315,{0;20;40;60;80;100}),"0–20","20–40","40–60","60–80","80–100","100–120")</f>
        <v>20–40</v>
      </c>
      <c r="L315" t="b" s="43" cm="1">
        <f t="array" ref="L315">ISBLANK(F315)</f>
        <v>0</v>
      </c>
    </row>
    <row r="316" ht="18.5" customHeight="1">
      <c r="A316" t="s" s="36">
        <v>359</v>
      </c>
      <c r="B316" s="37">
        <v>45957</v>
      </c>
      <c r="C316" t="s" s="38">
        <v>21</v>
      </c>
      <c r="D316" t="s" s="38">
        <v>51</v>
      </c>
      <c r="E316" t="s" s="38">
        <v>52</v>
      </c>
      <c r="F316" s="39">
        <v>28</v>
      </c>
      <c r="G316" s="40">
        <v>30.65</v>
      </c>
      <c r="H316" t="s" s="38">
        <v>19</v>
      </c>
      <c r="I316" s="41" cm="1">
        <f t="array" ref="I316">IF(F316=0,"",G316/F316)</f>
        <v>1.09464285714286</v>
      </c>
      <c r="J316" t="str" s="42" cm="1">
        <f t="array" ref="J316">CHOOSE(MIN(6,INT(F316/20)+1),"0–20","20–40","40–60","60–80","80–100","100–120")</f>
        <v>20–40</v>
      </c>
      <c r="K316" t="str" s="42" cm="1">
        <f t="array" ref="K316">CHOOSE(MATCH(F316,{0;20;40;60;80;100}),"0–20","20–40","40–60","60–80","80–100","100–120")</f>
        <v>20–40</v>
      </c>
      <c r="L316" t="b" s="43" cm="1">
        <f t="array" ref="L316">ISBLANK(F316)</f>
        <v>0</v>
      </c>
    </row>
    <row r="317" ht="18.5" customHeight="1">
      <c r="A317" t="s" s="44">
        <v>360</v>
      </c>
      <c r="B317" s="45">
        <v>45957</v>
      </c>
      <c r="C317" t="s" s="46">
        <v>30</v>
      </c>
      <c r="D317" t="s" s="46">
        <v>31</v>
      </c>
      <c r="E317" t="s" s="46">
        <v>32</v>
      </c>
      <c r="F317" s="47">
        <v>24</v>
      </c>
      <c r="G317" s="48">
        <v>29.3</v>
      </c>
      <c r="H317" t="s" s="49">
        <v>19</v>
      </c>
      <c r="I317" s="50" cm="1">
        <f t="array" ref="I317">IF(F317=0,"",G317/F317)</f>
        <v>1.22083333333333</v>
      </c>
      <c r="J317" t="str" s="42" cm="1">
        <f t="array" ref="J317">CHOOSE(MIN(6,INT(F317/20)+1),"0–20","20–40","40–60","60–80","80–100","100–120")</f>
        <v>20–40</v>
      </c>
      <c r="K317" t="str" s="42" cm="1">
        <f t="array" ref="K317">CHOOSE(MATCH(F317,{0;20;40;60;80;100}),"0–20","20–40","40–60","60–80","80–100","100–120")</f>
        <v>20–40</v>
      </c>
      <c r="L317" t="b" s="43" cm="1">
        <f t="array" ref="L317">ISBLANK(F317)</f>
        <v>0</v>
      </c>
    </row>
    <row r="318" ht="18.5" customHeight="1">
      <c r="A318" t="s" s="36">
        <v>361</v>
      </c>
      <c r="B318" s="37">
        <v>45958</v>
      </c>
      <c r="C318" t="s" s="38">
        <v>30</v>
      </c>
      <c r="D318" t="s" s="38">
        <v>31</v>
      </c>
      <c r="E318" t="s" s="38">
        <v>32</v>
      </c>
      <c r="F318" s="39">
        <v>14</v>
      </c>
      <c r="G318" s="40">
        <v>16.52</v>
      </c>
      <c r="H318" t="s" s="38">
        <v>19</v>
      </c>
      <c r="I318" s="41" cm="1">
        <f t="array" ref="I318">IF(F318=0,"",G318/F318)</f>
        <v>1.18</v>
      </c>
      <c r="J318" t="str" s="42" cm="1">
        <f t="array" ref="J318">CHOOSE(MIN(6,INT(F318/20)+1),"0–20","20–40","40–60","60–80","80–100","100–120")</f>
        <v>0–20</v>
      </c>
      <c r="K318" t="str" s="42" cm="1">
        <f t="array" ref="K318">CHOOSE(MATCH(F318,{0;20;40;60;80;100}),"0–20","20–40","40–60","60–80","80–100","100–120")</f>
        <v>0–20</v>
      </c>
      <c r="L318" t="b" s="43" cm="1">
        <f t="array" ref="L318">ISBLANK(F318)</f>
        <v>0</v>
      </c>
    </row>
    <row r="319" ht="18.5" customHeight="1">
      <c r="A319" t="s" s="44">
        <v>362</v>
      </c>
      <c r="B319" s="45">
        <v>45959</v>
      </c>
      <c r="C319" t="s" s="46">
        <v>26</v>
      </c>
      <c r="D319" t="s" s="46">
        <v>38</v>
      </c>
      <c r="E319" t="s" s="46">
        <v>28</v>
      </c>
      <c r="F319" s="47">
        <v>27</v>
      </c>
      <c r="G319" s="48">
        <v>43.52</v>
      </c>
      <c r="H319" t="s" s="49">
        <v>19</v>
      </c>
      <c r="I319" s="50" cm="1">
        <f t="array" ref="I319">IF(F319=0,"",G319/F319)</f>
        <v>1.61185185185185</v>
      </c>
      <c r="J319" t="str" s="42" cm="1">
        <f t="array" ref="J319">CHOOSE(MIN(6,INT(F319/20)+1),"0–20","20–40","40–60","60–80","80–100","100–120")</f>
        <v>20–40</v>
      </c>
      <c r="K319" t="str" s="42" cm="1">
        <f t="array" ref="K319">CHOOSE(MATCH(F319,{0;20;40;60;80;100}),"0–20","20–40","40–60","60–80","80–100","100–120")</f>
        <v>20–40</v>
      </c>
      <c r="L319" t="b" s="43" cm="1">
        <f t="array" ref="L319">ISBLANK(F319)</f>
        <v>0</v>
      </c>
    </row>
    <row r="320" ht="18.5" customHeight="1">
      <c r="A320" t="s" s="36">
        <v>363</v>
      </c>
      <c r="B320" s="37">
        <v>45959</v>
      </c>
      <c r="C320" t="s" s="38">
        <v>21</v>
      </c>
      <c r="D320" t="s" s="38">
        <v>22</v>
      </c>
      <c r="E320" t="s" s="38">
        <v>32</v>
      </c>
      <c r="F320" s="39">
        <v>23</v>
      </c>
      <c r="G320" s="40">
        <v>25.05</v>
      </c>
      <c r="H320" t="s" s="38">
        <v>19</v>
      </c>
      <c r="I320" s="41" cm="1">
        <f t="array" ref="I320">IF(F320=0,"",G320/F320)</f>
        <v>1.08913043478261</v>
      </c>
      <c r="J320" t="str" s="42" cm="1">
        <f t="array" ref="J320">CHOOSE(MIN(6,INT(F320/20)+1),"0–20","20–40","40–60","60–80","80–100","100–120")</f>
        <v>20–40</v>
      </c>
      <c r="K320" t="str" s="42" cm="1">
        <f t="array" ref="K320">CHOOSE(MATCH(F320,{0;20;40;60;80;100}),"0–20","20–40","40–60","60–80","80–100","100–120")</f>
        <v>20–40</v>
      </c>
      <c r="L320" t="b" s="43" cm="1">
        <f t="array" ref="L320">ISBLANK(F320)</f>
        <v>0</v>
      </c>
    </row>
    <row r="321" ht="18.5" customHeight="1">
      <c r="A321" t="s" s="44">
        <v>364</v>
      </c>
      <c r="B321" s="45">
        <v>45959</v>
      </c>
      <c r="C321" t="s" s="46">
        <v>21</v>
      </c>
      <c r="D321" t="s" s="46">
        <v>22</v>
      </c>
      <c r="E321" t="s" s="46">
        <v>52</v>
      </c>
      <c r="F321" s="47">
        <v>12</v>
      </c>
      <c r="G321" s="48">
        <v>14.32</v>
      </c>
      <c r="H321" t="s" s="49">
        <v>19</v>
      </c>
      <c r="I321" s="50" cm="1">
        <f t="array" ref="I321">IF(F321=0,"",G321/F321)</f>
        <v>1.19333333333333</v>
      </c>
      <c r="J321" t="str" s="42" cm="1">
        <f t="array" ref="J321">CHOOSE(MIN(6,INT(F321/20)+1),"0–20","20–40","40–60","60–80","80–100","100–120")</f>
        <v>0–20</v>
      </c>
      <c r="K321" t="str" s="42" cm="1">
        <f t="array" ref="K321">CHOOSE(MATCH(F321,{0;20;40;60;80;100}),"0–20","20–40","40–60","60–80","80–100","100–120")</f>
        <v>0–20</v>
      </c>
      <c r="L321" t="b" s="43" cm="1">
        <f t="array" ref="L321">ISBLANK(F321)</f>
        <v>0</v>
      </c>
    </row>
    <row r="322" ht="18.5" customHeight="1">
      <c r="A322" t="s" s="36">
        <v>365</v>
      </c>
      <c r="B322" s="37">
        <v>45961</v>
      </c>
      <c r="C322" t="s" s="38">
        <v>26</v>
      </c>
      <c r="D322" t="s" s="38">
        <v>38</v>
      </c>
      <c r="E322" t="s" s="38">
        <v>28</v>
      </c>
      <c r="F322" s="39">
        <v>32</v>
      </c>
      <c r="G322" s="40">
        <v>52.21</v>
      </c>
      <c r="H322" t="s" s="38">
        <v>19</v>
      </c>
      <c r="I322" s="41" cm="1">
        <f t="array" ref="I322">IF(F322=0,"",G322/F322)</f>
        <v>1.6315625</v>
      </c>
      <c r="J322" t="str" s="42" cm="1">
        <f t="array" ref="J322">CHOOSE(MIN(6,INT(F322/20)+1),"0–20","20–40","40–60","60–80","80–100","100–120")</f>
        <v>20–40</v>
      </c>
      <c r="K322" t="str" s="42" cm="1">
        <f t="array" ref="K322">CHOOSE(MATCH(F322,{0;20;40;60;80;100}),"0–20","20–40","40–60","60–80","80–100","100–120")</f>
        <v>20–40</v>
      </c>
      <c r="L322" t="b" s="43" cm="1">
        <f t="array" ref="L322">ISBLANK(F322)</f>
        <v>0</v>
      </c>
    </row>
    <row r="323" ht="18.5" customHeight="1">
      <c r="A323" t="s" s="44">
        <v>366</v>
      </c>
      <c r="B323" s="45">
        <v>45962</v>
      </c>
      <c r="C323" t="s" s="46">
        <v>34</v>
      </c>
      <c r="D323" t="s" s="46">
        <v>35</v>
      </c>
      <c r="E323" t="s" s="46">
        <v>59</v>
      </c>
      <c r="F323" s="47">
        <v>49</v>
      </c>
      <c r="G323" s="48">
        <v>82.02</v>
      </c>
      <c r="H323" t="s" s="49">
        <v>19</v>
      </c>
      <c r="I323" s="50" cm="1">
        <f t="array" ref="I323">IF(F323=0,"",G323/F323)</f>
        <v>1.67387755102041</v>
      </c>
      <c r="J323" t="str" s="42" cm="1">
        <f t="array" ref="J323">CHOOSE(MIN(6,INT(F323/20)+1),"0–20","20–40","40–60","60–80","80–100","100–120")</f>
        <v>40–60</v>
      </c>
      <c r="K323" t="str" s="42" cm="1">
        <f t="array" ref="K323">CHOOSE(MATCH(F323,{0;20;40;60;80;100}),"0–20","20–40","40–60","60–80","80–100","100–120")</f>
        <v>40–60</v>
      </c>
      <c r="L323" t="b" s="43" cm="1">
        <f t="array" ref="L323">ISBLANK(F323)</f>
        <v>0</v>
      </c>
    </row>
    <row r="324" ht="18.5" customHeight="1">
      <c r="A324" t="s" s="36">
        <v>367</v>
      </c>
      <c r="B324" s="37">
        <v>45964</v>
      </c>
      <c r="C324" t="s" s="38">
        <v>34</v>
      </c>
      <c r="D324" t="s" s="38">
        <v>35</v>
      </c>
      <c r="E324" t="s" s="38">
        <v>59</v>
      </c>
      <c r="F324" s="39">
        <v>85</v>
      </c>
      <c r="G324" s="40">
        <v>166.93</v>
      </c>
      <c r="H324" t="s" s="38">
        <v>24</v>
      </c>
      <c r="I324" s="41" cm="1">
        <f t="array" ref="I324">IF(F324=0,"",G324/F324)</f>
        <v>1.96388235294118</v>
      </c>
      <c r="J324" t="str" s="42" cm="1">
        <f t="array" ref="J324">CHOOSE(MIN(6,INT(F324/20)+1),"0–20","20–40","40–60","60–80","80–100","100–120")</f>
        <v>80–100</v>
      </c>
      <c r="K324" t="str" s="42" cm="1">
        <f t="array" ref="K324">CHOOSE(MATCH(F324,{0;20;40;60;80;100}),"0–20","20–40","40–60","60–80","80–100","100–120")</f>
        <v>80–100</v>
      </c>
      <c r="L324" t="b" s="43" cm="1">
        <f t="array" ref="L324">ISBLANK(F324)</f>
        <v>0</v>
      </c>
    </row>
    <row r="325" ht="18.5" customHeight="1">
      <c r="A325" t="s" s="44">
        <v>368</v>
      </c>
      <c r="B325" s="45">
        <v>45965</v>
      </c>
      <c r="C325" t="s" s="46">
        <v>21</v>
      </c>
      <c r="D325" t="s" s="46">
        <v>51</v>
      </c>
      <c r="E325" t="s" s="46">
        <v>23</v>
      </c>
      <c r="F325" s="47">
        <v>9</v>
      </c>
      <c r="G325" s="48">
        <v>9.08</v>
      </c>
      <c r="H325" t="s" s="49">
        <v>19</v>
      </c>
      <c r="I325" s="50" cm="1">
        <f t="array" ref="I325">IF(F325=0,"",G325/F325)</f>
        <v>1.00888888888889</v>
      </c>
      <c r="J325" t="str" s="42" cm="1">
        <f t="array" ref="J325">CHOOSE(MIN(6,INT(F325/20)+1),"0–20","20–40","40–60","60–80","80–100","100–120")</f>
        <v>0–20</v>
      </c>
      <c r="K325" t="str" s="42" cm="1">
        <f t="array" ref="K325">CHOOSE(MATCH(F325,{0;20;40;60;80;100}),"0–20","20–40","40–60","60–80","80–100","100–120")</f>
        <v>0–20</v>
      </c>
      <c r="L325" t="b" s="43" cm="1">
        <f t="array" ref="L325">ISBLANK(F325)</f>
        <v>0</v>
      </c>
    </row>
    <row r="326" ht="18.5" customHeight="1">
      <c r="A326" t="s" s="36">
        <v>369</v>
      </c>
      <c r="B326" s="37">
        <v>45967</v>
      </c>
      <c r="C326" t="s" s="38">
        <v>30</v>
      </c>
      <c r="D326" t="s" s="38">
        <v>42</v>
      </c>
      <c r="E326" t="s" s="38">
        <v>32</v>
      </c>
      <c r="F326" s="39">
        <v>21</v>
      </c>
      <c r="G326" s="40">
        <v>25.52</v>
      </c>
      <c r="H326" t="s" s="38">
        <v>19</v>
      </c>
      <c r="I326" s="41" cm="1">
        <f t="array" ref="I326">IF(F326=0,"",G326/F326)</f>
        <v>1.2152380952381</v>
      </c>
      <c r="J326" t="str" s="42" cm="1">
        <f t="array" ref="J326">CHOOSE(MIN(6,INT(F326/20)+1),"0–20","20–40","40–60","60–80","80–100","100–120")</f>
        <v>20–40</v>
      </c>
      <c r="K326" t="str" s="42" cm="1">
        <f t="array" ref="K326">CHOOSE(MATCH(F326,{0;20;40;60;80;100}),"0–20","20–40","40–60","60–80","80–100","100–120")</f>
        <v>20–40</v>
      </c>
      <c r="L326" t="b" s="43" cm="1">
        <f t="array" ref="L326">ISBLANK(F326)</f>
        <v>0</v>
      </c>
    </row>
    <row r="327" ht="18.5" customHeight="1">
      <c r="A327" t="s" s="44">
        <v>370</v>
      </c>
      <c r="B327" s="45">
        <v>45967</v>
      </c>
      <c r="C327" t="s" s="46">
        <v>34</v>
      </c>
      <c r="D327" t="s" s="46">
        <v>47</v>
      </c>
      <c r="E327" t="s" s="46">
        <v>48</v>
      </c>
      <c r="F327" s="47">
        <v>25</v>
      </c>
      <c r="G327" s="48">
        <v>46.74</v>
      </c>
      <c r="H327" t="s" s="49">
        <v>19</v>
      </c>
      <c r="I327" s="50" cm="1">
        <f t="array" ref="I327">IF(F327=0,"",G327/F327)</f>
        <v>1.8696</v>
      </c>
      <c r="J327" t="str" s="42" cm="1">
        <f t="array" ref="J327">CHOOSE(MIN(6,INT(F327/20)+1),"0–20","20–40","40–60","60–80","80–100","100–120")</f>
        <v>20–40</v>
      </c>
      <c r="K327" t="str" s="42" cm="1">
        <f t="array" ref="K327">CHOOSE(MATCH(F327,{0;20;40;60;80;100}),"0–20","20–40","40–60","60–80","80–100","100–120")</f>
        <v>20–40</v>
      </c>
      <c r="L327" t="b" s="43" cm="1">
        <f t="array" ref="L327">ISBLANK(F327)</f>
        <v>0</v>
      </c>
    </row>
    <row r="328" ht="18.5" customHeight="1">
      <c r="A328" t="s" s="36">
        <v>371</v>
      </c>
      <c r="B328" s="37">
        <v>45967</v>
      </c>
      <c r="C328" t="s" s="38">
        <v>26</v>
      </c>
      <c r="D328" t="s" s="38">
        <v>27</v>
      </c>
      <c r="E328" t="s" s="38">
        <v>28</v>
      </c>
      <c r="F328" s="39">
        <v>43</v>
      </c>
      <c r="G328" s="40">
        <v>58.78</v>
      </c>
      <c r="H328" t="s" s="38">
        <v>19</v>
      </c>
      <c r="I328" s="41" cm="1">
        <f t="array" ref="I328">IF(F328=0,"",G328/F328)</f>
        <v>1.36697674418605</v>
      </c>
      <c r="J328" t="str" s="42" cm="1">
        <f t="array" ref="J328">CHOOSE(MIN(6,INT(F328/20)+1),"0–20","20–40","40–60","60–80","80–100","100–120")</f>
        <v>40–60</v>
      </c>
      <c r="K328" t="str" s="42" cm="1">
        <f t="array" ref="K328">CHOOSE(MATCH(F328,{0;20;40;60;80;100}),"0–20","20–40","40–60","60–80","80–100","100–120")</f>
        <v>40–60</v>
      </c>
      <c r="L328" t="b" s="43" cm="1">
        <f t="array" ref="L328">ISBLANK(F328)</f>
        <v>0</v>
      </c>
    </row>
    <row r="329" ht="18.5" customHeight="1">
      <c r="A329" t="s" s="44">
        <v>372</v>
      </c>
      <c r="B329" s="45">
        <v>45968</v>
      </c>
      <c r="C329" t="s" s="46">
        <v>16</v>
      </c>
      <c r="D329" t="s" s="46">
        <v>17</v>
      </c>
      <c r="E329" t="s" s="46">
        <v>36</v>
      </c>
      <c r="F329" s="47">
        <v>16</v>
      </c>
      <c r="G329" s="48">
        <v>26.93</v>
      </c>
      <c r="H329" t="s" s="49">
        <v>19</v>
      </c>
      <c r="I329" s="50" cm="1">
        <f t="array" ref="I329">IF(F329=0,"",G329/F329)</f>
        <v>1.683125</v>
      </c>
      <c r="J329" t="str" s="42" cm="1">
        <f t="array" ref="J329">CHOOSE(MIN(6,INT(F329/20)+1),"0–20","20–40","40–60","60–80","80–100","100–120")</f>
        <v>0–20</v>
      </c>
      <c r="K329" t="str" s="42" cm="1">
        <f t="array" ref="K329">CHOOSE(MATCH(F329,{0;20;40;60;80;100}),"0–20","20–40","40–60","60–80","80–100","100–120")</f>
        <v>0–20</v>
      </c>
      <c r="L329" t="b" s="43" cm="1">
        <f t="array" ref="L329">ISBLANK(F329)</f>
        <v>0</v>
      </c>
    </row>
    <row r="330" ht="18.5" customHeight="1">
      <c r="A330" t="s" s="36">
        <v>373</v>
      </c>
      <c r="B330" s="37">
        <v>45968</v>
      </c>
      <c r="C330" t="s" s="38">
        <v>26</v>
      </c>
      <c r="D330" t="s" s="38">
        <v>27</v>
      </c>
      <c r="E330" t="s" s="38">
        <v>43</v>
      </c>
      <c r="F330" s="39">
        <v>63</v>
      </c>
      <c r="G330" s="40">
        <v>104</v>
      </c>
      <c r="H330" t="s" s="38">
        <v>24</v>
      </c>
      <c r="I330" s="41" cm="1">
        <f t="array" ref="I330">IF(F330=0,"",G330/F330)</f>
        <v>1.65079365079365</v>
      </c>
      <c r="J330" t="str" s="42" cm="1">
        <f t="array" ref="J330">CHOOSE(MIN(6,INT(F330/20)+1),"0–20","20–40","40–60","60–80","80–100","100–120")</f>
        <v>60–80</v>
      </c>
      <c r="K330" t="str" s="42" cm="1">
        <f t="array" ref="K330">CHOOSE(MATCH(F330,{0;20;40;60;80;100}),"0–20","20–40","40–60","60–80","80–100","100–120")</f>
        <v>60–80</v>
      </c>
      <c r="L330" t="b" s="43" cm="1">
        <f t="array" ref="L330">ISBLANK(F330)</f>
        <v>0</v>
      </c>
    </row>
    <row r="331" ht="18.5" customHeight="1">
      <c r="A331" t="s" s="44">
        <v>374</v>
      </c>
      <c r="B331" s="45">
        <v>45970</v>
      </c>
      <c r="C331" t="s" s="46">
        <v>26</v>
      </c>
      <c r="D331" t="s" s="46">
        <v>27</v>
      </c>
      <c r="E331" t="s" s="46">
        <v>39</v>
      </c>
      <c r="F331" s="47">
        <v>60</v>
      </c>
      <c r="G331" s="48">
        <v>86.27</v>
      </c>
      <c r="H331" t="s" s="49">
        <v>24</v>
      </c>
      <c r="I331" s="50" cm="1">
        <f t="array" ref="I331">IF(F331=0,"",G331/F331)</f>
        <v>1.43783333333333</v>
      </c>
      <c r="J331" t="str" s="42" cm="1">
        <f t="array" ref="J331">CHOOSE(MIN(6,INT(F331/20)+1),"0–20","20–40","40–60","60–80","80–100","100–120")</f>
        <v>60–80</v>
      </c>
      <c r="K331" t="str" s="42" cm="1">
        <f t="array" ref="K331">CHOOSE(MATCH(F331,{0;20;40;60;80;100}),"0–20","20–40","40–60","60–80","80–100","100–120")</f>
        <v>60–80</v>
      </c>
      <c r="L331" t="b" s="43" cm="1">
        <f t="array" ref="L331">ISBLANK(F331)</f>
        <v>0</v>
      </c>
    </row>
    <row r="332" ht="18.5" customHeight="1">
      <c r="A332" t="s" s="36">
        <v>375</v>
      </c>
      <c r="B332" s="37">
        <v>45971</v>
      </c>
      <c r="C332" t="s" s="38">
        <v>26</v>
      </c>
      <c r="D332" t="s" s="38">
        <v>45</v>
      </c>
      <c r="E332" t="s" s="38">
        <v>28</v>
      </c>
      <c r="F332" s="39">
        <v>15</v>
      </c>
      <c r="G332" s="40">
        <v>20.94</v>
      </c>
      <c r="H332" t="s" s="38">
        <v>19</v>
      </c>
      <c r="I332" s="41" cm="1">
        <f t="array" ref="I332">IF(F332=0,"",G332/F332)</f>
        <v>1.396</v>
      </c>
      <c r="J332" t="str" s="42" cm="1">
        <f t="array" ref="J332">CHOOSE(MIN(6,INT(F332/20)+1),"0–20","20–40","40–60","60–80","80–100","100–120")</f>
        <v>0–20</v>
      </c>
      <c r="K332" t="str" s="42" cm="1">
        <f t="array" ref="K332">CHOOSE(MATCH(F332,{0;20;40;60;80;100}),"0–20","20–40","40–60","60–80","80–100","100–120")</f>
        <v>0–20</v>
      </c>
      <c r="L332" t="b" s="43" cm="1">
        <f t="array" ref="L332">ISBLANK(F332)</f>
        <v>0</v>
      </c>
    </row>
    <row r="333" ht="18.5" customHeight="1">
      <c r="A333" t="s" s="44">
        <v>376</v>
      </c>
      <c r="B333" s="45">
        <v>45972</v>
      </c>
      <c r="C333" t="s" s="46">
        <v>26</v>
      </c>
      <c r="D333" t="s" s="46">
        <v>38</v>
      </c>
      <c r="E333" t="s" s="46">
        <v>39</v>
      </c>
      <c r="F333" s="47">
        <v>64</v>
      </c>
      <c r="G333" s="48">
        <v>90.08</v>
      </c>
      <c r="H333" t="s" s="49">
        <v>24</v>
      </c>
      <c r="I333" s="50" cm="1">
        <f t="array" ref="I333">IF(F333=0,"",G333/F333)</f>
        <v>1.4075</v>
      </c>
      <c r="J333" t="str" s="42" cm="1">
        <f t="array" ref="J333">CHOOSE(MIN(6,INT(F333/20)+1),"0–20","20–40","40–60","60–80","80–100","100–120")</f>
        <v>60–80</v>
      </c>
      <c r="K333" t="str" s="42" cm="1">
        <f t="array" ref="K333">CHOOSE(MATCH(F333,{0;20;40;60;80;100}),"0–20","20–40","40–60","60–80","80–100","100–120")</f>
        <v>60–80</v>
      </c>
      <c r="L333" t="b" s="43" cm="1">
        <f t="array" ref="L333">ISBLANK(F333)</f>
        <v>0</v>
      </c>
    </row>
    <row r="334" ht="18.5" customHeight="1">
      <c r="A334" t="s" s="36">
        <v>377</v>
      </c>
      <c r="B334" s="37">
        <v>45973</v>
      </c>
      <c r="C334" t="s" s="38">
        <v>30</v>
      </c>
      <c r="D334" t="s" s="38">
        <v>31</v>
      </c>
      <c r="E334" t="s" s="38">
        <v>43</v>
      </c>
      <c r="F334" s="39">
        <v>22</v>
      </c>
      <c r="G334" s="40">
        <v>29.26</v>
      </c>
      <c r="H334" t="s" s="38">
        <v>19</v>
      </c>
      <c r="I334" s="41" cm="1">
        <f t="array" ref="I334">IF(F334=0,"",G334/F334)</f>
        <v>1.33</v>
      </c>
      <c r="J334" t="str" s="42" cm="1">
        <f t="array" ref="J334">CHOOSE(MIN(6,INT(F334/20)+1),"0–20","20–40","40–60","60–80","80–100","100–120")</f>
        <v>20–40</v>
      </c>
      <c r="K334" t="str" s="42" cm="1">
        <f t="array" ref="K334">CHOOSE(MATCH(F334,{0;20;40;60;80;100}),"0–20","20–40","40–60","60–80","80–100","100–120")</f>
        <v>20–40</v>
      </c>
      <c r="L334" t="b" s="43" cm="1">
        <f t="array" ref="L334">ISBLANK(F334)</f>
        <v>0</v>
      </c>
    </row>
    <row r="335" ht="18.5" customHeight="1">
      <c r="A335" t="s" s="44">
        <v>378</v>
      </c>
      <c r="B335" s="45">
        <v>45973</v>
      </c>
      <c r="C335" t="s" s="46">
        <v>16</v>
      </c>
      <c r="D335" t="s" s="46">
        <v>17</v>
      </c>
      <c r="E335" t="s" s="46">
        <v>65</v>
      </c>
      <c r="F335" s="47">
        <v>21</v>
      </c>
      <c r="G335" s="48">
        <v>34.71</v>
      </c>
      <c r="H335" t="s" s="49">
        <v>19</v>
      </c>
      <c r="I335" s="50" cm="1">
        <f t="array" ref="I335">IF(F335=0,"",G335/F335)</f>
        <v>1.65285714285714</v>
      </c>
      <c r="J335" t="str" s="42" cm="1">
        <f t="array" ref="J335">CHOOSE(MIN(6,INT(F335/20)+1),"0–20","20–40","40–60","60–80","80–100","100–120")</f>
        <v>20–40</v>
      </c>
      <c r="K335" t="str" s="42" cm="1">
        <f t="array" ref="K335">CHOOSE(MATCH(F335,{0;20;40;60;80;100}),"0–20","20–40","40–60","60–80","80–100","100–120")</f>
        <v>20–40</v>
      </c>
      <c r="L335" t="b" s="43" cm="1">
        <f t="array" ref="L335">ISBLANK(F335)</f>
        <v>0</v>
      </c>
    </row>
    <row r="336" ht="18.5" customHeight="1">
      <c r="A336" t="s" s="36">
        <v>379</v>
      </c>
      <c r="B336" s="37">
        <v>45974</v>
      </c>
      <c r="C336" t="s" s="38">
        <v>26</v>
      </c>
      <c r="D336" t="s" s="38">
        <v>27</v>
      </c>
      <c r="E336" t="s" s="38">
        <v>39</v>
      </c>
      <c r="F336" s="39">
        <v>34</v>
      </c>
      <c r="G336" s="40">
        <v>51.64</v>
      </c>
      <c r="H336" t="s" s="38">
        <v>19</v>
      </c>
      <c r="I336" s="41" cm="1">
        <f t="array" ref="I336">IF(F336=0,"",G336/F336)</f>
        <v>1.51882352941176</v>
      </c>
      <c r="J336" t="str" s="42" cm="1">
        <f t="array" ref="J336">CHOOSE(MIN(6,INT(F336/20)+1),"0–20","20–40","40–60","60–80","80–100","100–120")</f>
        <v>20–40</v>
      </c>
      <c r="K336" t="str" s="42" cm="1">
        <f t="array" ref="K336">CHOOSE(MATCH(F336,{0;20;40;60;80;100}),"0–20","20–40","40–60","60–80","80–100","100–120")</f>
        <v>20–40</v>
      </c>
      <c r="L336" t="b" s="43" cm="1">
        <f t="array" ref="L336">ISBLANK(F336)</f>
        <v>0</v>
      </c>
    </row>
    <row r="337" ht="18.5" customHeight="1">
      <c r="A337" t="s" s="44">
        <v>380</v>
      </c>
      <c r="B337" s="45">
        <v>45974</v>
      </c>
      <c r="C337" t="s" s="46">
        <v>34</v>
      </c>
      <c r="D337" t="s" s="46">
        <v>35</v>
      </c>
      <c r="E337" t="s" s="46">
        <v>59</v>
      </c>
      <c r="F337" s="47">
        <v>28</v>
      </c>
      <c r="G337" s="48">
        <v>50.94</v>
      </c>
      <c r="H337" t="s" s="49">
        <v>19</v>
      </c>
      <c r="I337" s="50" cm="1">
        <f t="array" ref="I337">IF(F337=0,"",G337/F337)</f>
        <v>1.81928571428571</v>
      </c>
      <c r="J337" t="str" s="42" cm="1">
        <f t="array" ref="J337">CHOOSE(MIN(6,INT(F337/20)+1),"0–20","20–40","40–60","60–80","80–100","100–120")</f>
        <v>20–40</v>
      </c>
      <c r="K337" t="str" s="42" cm="1">
        <f t="array" ref="K337">CHOOSE(MATCH(F337,{0;20;40;60;80;100}),"0–20","20–40","40–60","60–80","80–100","100–120")</f>
        <v>20–40</v>
      </c>
      <c r="L337" t="b" s="43" cm="1">
        <f t="array" ref="L337">ISBLANK(F337)</f>
        <v>0</v>
      </c>
    </row>
    <row r="338" ht="18.5" customHeight="1">
      <c r="A338" t="s" s="36">
        <v>381</v>
      </c>
      <c r="B338" s="37">
        <v>45974</v>
      </c>
      <c r="C338" t="s" s="38">
        <v>30</v>
      </c>
      <c r="D338" t="s" s="38">
        <v>31</v>
      </c>
      <c r="E338" t="s" s="38">
        <v>32</v>
      </c>
      <c r="F338" s="39">
        <v>24</v>
      </c>
      <c r="G338" s="40">
        <v>29.06</v>
      </c>
      <c r="H338" t="s" s="38">
        <v>19</v>
      </c>
      <c r="I338" s="41" cm="1">
        <f t="array" ref="I338">IF(F338=0,"",G338/F338)</f>
        <v>1.21083333333333</v>
      </c>
      <c r="J338" t="str" s="42" cm="1">
        <f t="array" ref="J338">CHOOSE(MIN(6,INT(F338/20)+1),"0–20","20–40","40–60","60–80","80–100","100–120")</f>
        <v>20–40</v>
      </c>
      <c r="K338" t="str" s="42" cm="1">
        <f t="array" ref="K338">CHOOSE(MATCH(F338,{0;20;40;60;80;100}),"0–20","20–40","40–60","60–80","80–100","100–120")</f>
        <v>20–40</v>
      </c>
      <c r="L338" t="b" s="43" cm="1">
        <f t="array" ref="L338">ISBLANK(F338)</f>
        <v>0</v>
      </c>
    </row>
    <row r="339" ht="18.5" customHeight="1">
      <c r="A339" t="s" s="44">
        <v>382</v>
      </c>
      <c r="B339" s="45">
        <v>45974</v>
      </c>
      <c r="C339" t="s" s="46">
        <v>30</v>
      </c>
      <c r="D339" t="s" s="46">
        <v>31</v>
      </c>
      <c r="E339" t="s" s="46">
        <v>43</v>
      </c>
      <c r="F339" s="47">
        <v>31</v>
      </c>
      <c r="G339" s="48">
        <v>38.02</v>
      </c>
      <c r="H339" t="s" s="49">
        <v>19</v>
      </c>
      <c r="I339" s="50" cm="1">
        <f t="array" ref="I339">IF(F339=0,"",G339/F339)</f>
        <v>1.22645161290323</v>
      </c>
      <c r="J339" t="str" s="42" cm="1">
        <f t="array" ref="J339">CHOOSE(MIN(6,INT(F339/20)+1),"0–20","20–40","40–60","60–80","80–100","100–120")</f>
        <v>20–40</v>
      </c>
      <c r="K339" t="str" s="42" cm="1">
        <f t="array" ref="K339">CHOOSE(MATCH(F339,{0;20;40;60;80;100}),"0–20","20–40","40–60","60–80","80–100","100–120")</f>
        <v>20–40</v>
      </c>
      <c r="L339" t="b" s="43" cm="1">
        <f t="array" ref="L339">ISBLANK(F339)</f>
        <v>0</v>
      </c>
    </row>
    <row r="340" ht="18.5" customHeight="1">
      <c r="A340" t="s" s="36">
        <v>383</v>
      </c>
      <c r="B340" s="37">
        <v>45975</v>
      </c>
      <c r="C340" t="s" s="38">
        <v>16</v>
      </c>
      <c r="D340" t="s" s="38">
        <v>17</v>
      </c>
      <c r="E340" t="s" s="38">
        <v>65</v>
      </c>
      <c r="F340" s="39">
        <v>39</v>
      </c>
      <c r="G340" s="40">
        <v>58.39</v>
      </c>
      <c r="H340" t="s" s="38">
        <v>19</v>
      </c>
      <c r="I340" s="41" cm="1">
        <f t="array" ref="I340">IF(F340=0,"",G340/F340)</f>
        <v>1.49717948717949</v>
      </c>
      <c r="J340" t="str" s="42" cm="1">
        <f t="array" ref="J340">CHOOSE(MIN(6,INT(F340/20)+1),"0–20","20–40","40–60","60–80","80–100","100–120")</f>
        <v>20–40</v>
      </c>
      <c r="K340" t="str" s="42" cm="1">
        <f t="array" ref="K340">CHOOSE(MATCH(F340,{0;20;40;60;80;100}),"0–20","20–40","40–60","60–80","80–100","100–120")</f>
        <v>20–40</v>
      </c>
      <c r="L340" t="b" s="43" cm="1">
        <f t="array" ref="L340">ISBLANK(F340)</f>
        <v>0</v>
      </c>
    </row>
    <row r="341" ht="18.5" customHeight="1">
      <c r="A341" t="s" s="44">
        <v>384</v>
      </c>
      <c r="B341" s="45">
        <v>45976</v>
      </c>
      <c r="C341" t="s" s="46">
        <v>30</v>
      </c>
      <c r="D341" t="s" s="46">
        <v>31</v>
      </c>
      <c r="E341" t="s" s="46">
        <v>43</v>
      </c>
      <c r="F341" s="47">
        <v>7</v>
      </c>
      <c r="G341" s="48">
        <v>8.75</v>
      </c>
      <c r="H341" t="s" s="49">
        <v>19</v>
      </c>
      <c r="I341" s="50" cm="1">
        <f t="array" ref="I341">IF(F341=0,"",G341/F341)</f>
        <v>1.25</v>
      </c>
      <c r="J341" t="str" s="42" cm="1">
        <f t="array" ref="J341">CHOOSE(MIN(6,INT(F341/20)+1),"0–20","20–40","40–60","60–80","80–100","100–120")</f>
        <v>0–20</v>
      </c>
      <c r="K341" t="str" s="42" cm="1">
        <f t="array" ref="K341">CHOOSE(MATCH(F341,{0;20;40;60;80;100}),"0–20","20–40","40–60","60–80","80–100","100–120")</f>
        <v>0–20</v>
      </c>
      <c r="L341" t="b" s="43" cm="1">
        <f t="array" ref="L341">ISBLANK(F341)</f>
        <v>0</v>
      </c>
    </row>
    <row r="342" ht="18.5" customHeight="1">
      <c r="A342" t="s" s="36">
        <v>385</v>
      </c>
      <c r="B342" s="37">
        <v>45979</v>
      </c>
      <c r="C342" t="s" s="38">
        <v>26</v>
      </c>
      <c r="D342" t="s" s="38">
        <v>27</v>
      </c>
      <c r="E342" t="s" s="38">
        <v>39</v>
      </c>
      <c r="F342" s="39">
        <v>37</v>
      </c>
      <c r="G342" s="40">
        <v>61.75</v>
      </c>
      <c r="H342" t="s" s="38">
        <v>19</v>
      </c>
      <c r="I342" s="41" cm="1">
        <f t="array" ref="I342">IF(F342=0,"",G342/F342)</f>
        <v>1.66891891891892</v>
      </c>
      <c r="J342" t="str" s="42" cm="1">
        <f t="array" ref="J342">CHOOSE(MIN(6,INT(F342/20)+1),"0–20","20–40","40–60","60–80","80–100","100–120")</f>
        <v>20–40</v>
      </c>
      <c r="K342" t="str" s="42" cm="1">
        <f t="array" ref="K342">CHOOSE(MATCH(F342,{0;20;40;60;80;100}),"0–20","20–40","40–60","60–80","80–100","100–120")</f>
        <v>20–40</v>
      </c>
      <c r="L342" t="b" s="43" cm="1">
        <f t="array" ref="L342">ISBLANK(F342)</f>
        <v>0</v>
      </c>
    </row>
    <row r="343" ht="18.5" customHeight="1">
      <c r="A343" t="s" s="44">
        <v>386</v>
      </c>
      <c r="B343" s="45">
        <v>45979</v>
      </c>
      <c r="C343" t="s" s="46">
        <v>30</v>
      </c>
      <c r="D343" t="s" s="46">
        <v>31</v>
      </c>
      <c r="E343" t="s" s="46">
        <v>43</v>
      </c>
      <c r="F343" s="47">
        <v>45</v>
      </c>
      <c r="G343" s="48">
        <v>61.08</v>
      </c>
      <c r="H343" t="s" s="49">
        <v>24</v>
      </c>
      <c r="I343" s="50" cm="1">
        <f t="array" ref="I343">IF(F343=0,"",G343/F343)</f>
        <v>1.35733333333333</v>
      </c>
      <c r="J343" t="str" s="42" cm="1">
        <f t="array" ref="J343">CHOOSE(MIN(6,INT(F343/20)+1),"0–20","20–40","40–60","60–80","80–100","100–120")</f>
        <v>40–60</v>
      </c>
      <c r="K343" t="str" s="42" cm="1">
        <f t="array" ref="K343">CHOOSE(MATCH(F343,{0;20;40;60;80;100}),"0–20","20–40","40–60","60–80","80–100","100–120")</f>
        <v>40–60</v>
      </c>
      <c r="L343" t="b" s="43" cm="1">
        <f t="array" ref="L343">ISBLANK(F343)</f>
        <v>0</v>
      </c>
    </row>
    <row r="344" ht="18.5" customHeight="1">
      <c r="A344" t="s" s="36">
        <v>387</v>
      </c>
      <c r="B344" s="37">
        <v>45979</v>
      </c>
      <c r="C344" t="s" s="38">
        <v>34</v>
      </c>
      <c r="D344" t="s" s="38">
        <v>47</v>
      </c>
      <c r="E344" t="s" s="38">
        <v>48</v>
      </c>
      <c r="F344" s="39">
        <v>33</v>
      </c>
      <c r="G344" s="40">
        <v>54.12</v>
      </c>
      <c r="H344" t="s" s="38">
        <v>19</v>
      </c>
      <c r="I344" s="41" cm="1">
        <f t="array" ref="I344">IF(F344=0,"",G344/F344)</f>
        <v>1.64</v>
      </c>
      <c r="J344" t="str" s="42" cm="1">
        <f t="array" ref="J344">CHOOSE(MIN(6,INT(F344/20)+1),"0–20","20–40","40–60","60–80","80–100","100–120")</f>
        <v>20–40</v>
      </c>
      <c r="K344" t="str" s="42" cm="1">
        <f t="array" ref="K344">CHOOSE(MATCH(F344,{0;20;40;60;80;100}),"0–20","20–40","40–60","60–80","80–100","100–120")</f>
        <v>20–40</v>
      </c>
      <c r="L344" t="b" s="43" cm="1">
        <f t="array" ref="L344">ISBLANK(F344)</f>
        <v>0</v>
      </c>
    </row>
    <row r="345" ht="18.5" customHeight="1">
      <c r="A345" t="s" s="44">
        <v>388</v>
      </c>
      <c r="B345" s="45">
        <v>45980</v>
      </c>
      <c r="C345" t="s" s="46">
        <v>30</v>
      </c>
      <c r="D345" t="s" s="46">
        <v>31</v>
      </c>
      <c r="E345" t="s" s="46">
        <v>70</v>
      </c>
      <c r="F345" s="47">
        <v>25</v>
      </c>
      <c r="G345" s="48">
        <v>30</v>
      </c>
      <c r="H345" t="s" s="49">
        <v>19</v>
      </c>
      <c r="I345" s="50" cm="1">
        <f t="array" ref="I345">IF(F345=0,"",G345/F345)</f>
        <v>1.2</v>
      </c>
      <c r="J345" t="str" s="42" cm="1">
        <f t="array" ref="J345">CHOOSE(MIN(6,INT(F345/20)+1),"0–20","20–40","40–60","60–80","80–100","100–120")</f>
        <v>20–40</v>
      </c>
      <c r="K345" t="str" s="42" cm="1">
        <f t="array" ref="K345">CHOOSE(MATCH(F345,{0;20;40;60;80;100}),"0–20","20–40","40–60","60–80","80–100","100–120")</f>
        <v>20–40</v>
      </c>
      <c r="L345" t="b" s="43" cm="1">
        <f t="array" ref="L345">ISBLANK(F345)</f>
        <v>0</v>
      </c>
    </row>
    <row r="346" ht="18.5" customHeight="1">
      <c r="A346" t="s" s="36">
        <v>389</v>
      </c>
      <c r="B346" s="37">
        <v>45980</v>
      </c>
      <c r="C346" t="s" s="38">
        <v>16</v>
      </c>
      <c r="D346" t="s" s="38">
        <v>63</v>
      </c>
      <c r="E346" t="s" s="38">
        <v>36</v>
      </c>
      <c r="F346" s="39">
        <v>22</v>
      </c>
      <c r="G346" s="40">
        <v>38.82</v>
      </c>
      <c r="H346" t="s" s="38">
        <v>19</v>
      </c>
      <c r="I346" s="41" cm="1">
        <f t="array" ref="I346">IF(F346=0,"",G346/F346)</f>
        <v>1.76454545454545</v>
      </c>
      <c r="J346" t="str" s="42" cm="1">
        <f t="array" ref="J346">CHOOSE(MIN(6,INT(F346/20)+1),"0–20","20–40","40–60","60–80","80–100","100–120")</f>
        <v>20–40</v>
      </c>
      <c r="K346" t="str" s="42" cm="1">
        <f t="array" ref="K346">CHOOSE(MATCH(F346,{0;20;40;60;80;100}),"0–20","20–40","40–60","60–80","80–100","100–120")</f>
        <v>20–40</v>
      </c>
      <c r="L346" t="b" s="43" cm="1">
        <f t="array" ref="L346">ISBLANK(F346)</f>
        <v>0</v>
      </c>
    </row>
    <row r="347" ht="18.5" customHeight="1">
      <c r="A347" t="s" s="44">
        <v>390</v>
      </c>
      <c r="B347" s="45">
        <v>45980</v>
      </c>
      <c r="C347" t="s" s="46">
        <v>34</v>
      </c>
      <c r="D347" t="s" s="46">
        <v>47</v>
      </c>
      <c r="E347" t="s" s="46">
        <v>59</v>
      </c>
      <c r="F347" s="47">
        <v>93</v>
      </c>
      <c r="G347" s="48">
        <v>191.13</v>
      </c>
      <c r="H347" t="s" s="49">
        <v>24</v>
      </c>
      <c r="I347" s="50" cm="1">
        <f t="array" ref="I347">IF(F347=0,"",G347/F347)</f>
        <v>2.05516129032258</v>
      </c>
      <c r="J347" t="str" s="42" cm="1">
        <f t="array" ref="J347">CHOOSE(MIN(6,INT(F347/20)+1),"0–20","20–40","40–60","60–80","80–100","100–120")</f>
        <v>80–100</v>
      </c>
      <c r="K347" t="str" s="42" cm="1">
        <f t="array" ref="K347">CHOOSE(MATCH(F347,{0;20;40;60;80;100}),"0–20","20–40","40–60","60–80","80–100","100–120")</f>
        <v>80–100</v>
      </c>
      <c r="L347" t="b" s="43" cm="1">
        <f t="array" ref="L347">ISBLANK(F347)</f>
        <v>0</v>
      </c>
    </row>
    <row r="348" ht="18.5" customHeight="1">
      <c r="A348" t="s" s="36">
        <v>391</v>
      </c>
      <c r="B348" s="37">
        <v>45981</v>
      </c>
      <c r="C348" t="s" s="38">
        <v>26</v>
      </c>
      <c r="D348" t="s" s="38">
        <v>45</v>
      </c>
      <c r="E348" t="s" s="38">
        <v>43</v>
      </c>
      <c r="F348" s="39">
        <v>56</v>
      </c>
      <c r="G348" s="40">
        <v>76.78</v>
      </c>
      <c r="H348" t="s" s="38">
        <v>24</v>
      </c>
      <c r="I348" s="41" cm="1">
        <f t="array" ref="I348">IF(F348=0,"",G348/F348)</f>
        <v>1.37107142857143</v>
      </c>
      <c r="J348" t="str" s="42" cm="1">
        <f t="array" ref="J348">CHOOSE(MIN(6,INT(F348/20)+1),"0–20","20–40","40–60","60–80","80–100","100–120")</f>
        <v>40–60</v>
      </c>
      <c r="K348" t="str" s="42" cm="1">
        <f t="array" ref="K348">CHOOSE(MATCH(F348,{0;20;40;60;80;100}),"0–20","20–40","40–60","60–80","80–100","100–120")</f>
        <v>40–60</v>
      </c>
      <c r="L348" t="b" s="43" cm="1">
        <f t="array" ref="L348">ISBLANK(F348)</f>
        <v>0</v>
      </c>
    </row>
    <row r="349" ht="18.5" customHeight="1">
      <c r="A349" t="s" s="44">
        <v>392</v>
      </c>
      <c r="B349" s="45">
        <v>45981</v>
      </c>
      <c r="C349" t="s" s="46">
        <v>30</v>
      </c>
      <c r="D349" t="s" s="46">
        <v>42</v>
      </c>
      <c r="E349" t="s" s="46">
        <v>43</v>
      </c>
      <c r="F349" s="47">
        <v>37</v>
      </c>
      <c r="G349" s="48">
        <v>46.78</v>
      </c>
      <c r="H349" t="s" s="49">
        <v>19</v>
      </c>
      <c r="I349" s="50" cm="1">
        <f t="array" ref="I349">IF(F349=0,"",G349/F349)</f>
        <v>1.26432432432432</v>
      </c>
      <c r="J349" t="str" s="42" cm="1">
        <f t="array" ref="J349">CHOOSE(MIN(6,INT(F349/20)+1),"0–20","20–40","40–60","60–80","80–100","100–120")</f>
        <v>20–40</v>
      </c>
      <c r="K349" t="str" s="42" cm="1">
        <f t="array" ref="K349">CHOOSE(MATCH(F349,{0;20;40;60;80;100}),"0–20","20–40","40–60","60–80","80–100","100–120")</f>
        <v>20–40</v>
      </c>
      <c r="L349" t="b" s="43" cm="1">
        <f t="array" ref="L349">ISBLANK(F349)</f>
        <v>0</v>
      </c>
    </row>
    <row r="350" ht="18.5" customHeight="1">
      <c r="A350" t="s" s="36">
        <v>393</v>
      </c>
      <c r="B350" s="37">
        <v>45983</v>
      </c>
      <c r="C350" t="s" s="38">
        <v>21</v>
      </c>
      <c r="D350" t="s" s="38">
        <v>22</v>
      </c>
      <c r="E350" t="s" s="38">
        <v>32</v>
      </c>
      <c r="F350" s="39">
        <v>14</v>
      </c>
      <c r="G350" s="40">
        <v>14.22</v>
      </c>
      <c r="H350" t="s" s="38">
        <v>19</v>
      </c>
      <c r="I350" s="41" cm="1">
        <f t="array" ref="I350">IF(F350=0,"",G350/F350)</f>
        <v>1.01571428571429</v>
      </c>
      <c r="J350" t="str" s="42" cm="1">
        <f t="array" ref="J350">CHOOSE(MIN(6,INT(F350/20)+1),"0–20","20–40","40–60","60–80","80–100","100–120")</f>
        <v>0–20</v>
      </c>
      <c r="K350" t="str" s="42" cm="1">
        <f t="array" ref="K350">CHOOSE(MATCH(F350,{0;20;40;60;80;100}),"0–20","20–40","40–60","60–80","80–100","100–120")</f>
        <v>0–20</v>
      </c>
      <c r="L350" t="b" s="43" cm="1">
        <f t="array" ref="L350">ISBLANK(F350)</f>
        <v>0</v>
      </c>
    </row>
    <row r="351" ht="18.5" customHeight="1">
      <c r="A351" t="s" s="44">
        <v>394</v>
      </c>
      <c r="B351" s="45">
        <v>45984</v>
      </c>
      <c r="C351" t="s" s="46">
        <v>34</v>
      </c>
      <c r="D351" t="s" s="46">
        <v>35</v>
      </c>
      <c r="E351" t="s" s="46">
        <v>48</v>
      </c>
      <c r="F351" s="47">
        <v>30</v>
      </c>
      <c r="G351" s="48">
        <v>59.19</v>
      </c>
      <c r="H351" t="s" s="49">
        <v>19</v>
      </c>
      <c r="I351" s="50" cm="1">
        <f t="array" ref="I351">IF(F351=0,"",G351/F351)</f>
        <v>1.973</v>
      </c>
      <c r="J351" t="str" s="42" cm="1">
        <f t="array" ref="J351">CHOOSE(MIN(6,INT(F351/20)+1),"0–20","20–40","40–60","60–80","80–100","100–120")</f>
        <v>20–40</v>
      </c>
      <c r="K351" t="str" s="42" cm="1">
        <f t="array" ref="K351">CHOOSE(MATCH(F351,{0;20;40;60;80;100}),"0–20","20–40","40–60","60–80","80–100","100–120")</f>
        <v>20–40</v>
      </c>
      <c r="L351" t="b" s="43" cm="1">
        <f t="array" ref="L351">ISBLANK(F351)</f>
        <v>0</v>
      </c>
    </row>
    <row r="352" ht="18.5" customHeight="1">
      <c r="A352" t="s" s="36">
        <v>395</v>
      </c>
      <c r="B352" s="37">
        <v>45985</v>
      </c>
      <c r="C352" t="s" s="38">
        <v>34</v>
      </c>
      <c r="D352" t="s" s="38">
        <v>47</v>
      </c>
      <c r="E352" t="s" s="38">
        <v>48</v>
      </c>
      <c r="F352" s="39">
        <v>57</v>
      </c>
      <c r="G352" s="40">
        <v>109.7</v>
      </c>
      <c r="H352" t="s" s="38">
        <v>19</v>
      </c>
      <c r="I352" s="41" cm="1">
        <f t="array" ref="I352">IF(F352=0,"",G352/F352)</f>
        <v>1.92456140350877</v>
      </c>
      <c r="J352" t="str" s="42" cm="1">
        <f t="array" ref="J352">CHOOSE(MIN(6,INT(F352/20)+1),"0–20","20–40","40–60","60–80","80–100","100–120")</f>
        <v>40–60</v>
      </c>
      <c r="K352" t="str" s="42" cm="1">
        <f t="array" ref="K352">CHOOSE(MATCH(F352,{0;20;40;60;80;100}),"0–20","20–40","40–60","60–80","80–100","100–120")</f>
        <v>40–60</v>
      </c>
      <c r="L352" t="b" s="43" cm="1">
        <f t="array" ref="L352">ISBLANK(F352)</f>
        <v>0</v>
      </c>
    </row>
    <row r="353" ht="18.5" customHeight="1">
      <c r="A353" t="s" s="44">
        <v>396</v>
      </c>
      <c r="B353" s="45">
        <v>45985</v>
      </c>
      <c r="C353" t="s" s="46">
        <v>16</v>
      </c>
      <c r="D353" t="s" s="46">
        <v>63</v>
      </c>
      <c r="E353" t="s" s="46">
        <v>65</v>
      </c>
      <c r="F353" s="47">
        <v>26</v>
      </c>
      <c r="G353" s="48">
        <v>40.81</v>
      </c>
      <c r="H353" t="s" s="49">
        <v>19</v>
      </c>
      <c r="I353" s="50" cm="1">
        <f t="array" ref="I353">IF(F353=0,"",G353/F353)</f>
        <v>1.56961538461538</v>
      </c>
      <c r="J353" t="str" s="42" cm="1">
        <f t="array" ref="J353">CHOOSE(MIN(6,INT(F353/20)+1),"0–20","20–40","40–60","60–80","80–100","100–120")</f>
        <v>20–40</v>
      </c>
      <c r="K353" t="str" s="42" cm="1">
        <f t="array" ref="K353">CHOOSE(MATCH(F353,{0;20;40;60;80;100}),"0–20","20–40","40–60","60–80","80–100","100–120")</f>
        <v>20–40</v>
      </c>
      <c r="L353" t="b" s="43" cm="1">
        <f t="array" ref="L353">ISBLANK(F353)</f>
        <v>0</v>
      </c>
    </row>
    <row r="354" ht="18.5" customHeight="1">
      <c r="A354" t="s" s="36">
        <v>397</v>
      </c>
      <c r="B354" s="37">
        <v>45985</v>
      </c>
      <c r="C354" t="s" s="38">
        <v>30</v>
      </c>
      <c r="D354" t="s" s="38">
        <v>42</v>
      </c>
      <c r="E354" t="s" s="38">
        <v>32</v>
      </c>
      <c r="F354" s="39">
        <v>24</v>
      </c>
      <c r="G354" s="40">
        <v>32.79</v>
      </c>
      <c r="H354" t="s" s="38">
        <v>19</v>
      </c>
      <c r="I354" s="41" cm="1">
        <f t="array" ref="I354">IF(F354=0,"",G354/F354)</f>
        <v>1.36625</v>
      </c>
      <c r="J354" t="str" s="42" cm="1">
        <f t="array" ref="J354">CHOOSE(MIN(6,INT(F354/20)+1),"0–20","20–40","40–60","60–80","80–100","100–120")</f>
        <v>20–40</v>
      </c>
      <c r="K354" t="str" s="42" cm="1">
        <f t="array" ref="K354">CHOOSE(MATCH(F354,{0;20;40;60;80;100}),"0–20","20–40","40–60","60–80","80–100","100–120")</f>
        <v>20–40</v>
      </c>
      <c r="L354" t="b" s="43" cm="1">
        <f t="array" ref="L354">ISBLANK(F354)</f>
        <v>0</v>
      </c>
    </row>
    <row r="355" ht="18.5" customHeight="1">
      <c r="A355" t="s" s="44">
        <v>398</v>
      </c>
      <c r="B355" s="45">
        <v>45985</v>
      </c>
      <c r="C355" t="s" s="46">
        <v>21</v>
      </c>
      <c r="D355" t="s" s="46">
        <v>22</v>
      </c>
      <c r="E355" t="s" s="46">
        <v>52</v>
      </c>
      <c r="F355" s="47">
        <v>18</v>
      </c>
      <c r="G355" s="48">
        <v>18.29</v>
      </c>
      <c r="H355" t="s" s="49">
        <v>19</v>
      </c>
      <c r="I355" s="50" cm="1">
        <f t="array" ref="I355">IF(F355=0,"",G355/F355)</f>
        <v>1.01611111111111</v>
      </c>
      <c r="J355" t="str" s="42" cm="1">
        <f t="array" ref="J355">CHOOSE(MIN(6,INT(F355/20)+1),"0–20","20–40","40–60","60–80","80–100","100–120")</f>
        <v>0–20</v>
      </c>
      <c r="K355" t="str" s="42" cm="1">
        <f t="array" ref="K355">CHOOSE(MATCH(F355,{0;20;40;60;80;100}),"0–20","20–40","40–60","60–80","80–100","100–120")</f>
        <v>0–20</v>
      </c>
      <c r="L355" t="b" s="43" cm="1">
        <f t="array" ref="L355">ISBLANK(F355)</f>
        <v>0</v>
      </c>
    </row>
    <row r="356" ht="18.5" customHeight="1">
      <c r="A356" t="s" s="36">
        <v>399</v>
      </c>
      <c r="B356" s="37">
        <v>45986</v>
      </c>
      <c r="C356" t="s" s="38">
        <v>34</v>
      </c>
      <c r="D356" t="s" s="38">
        <v>35</v>
      </c>
      <c r="E356" t="s" s="38">
        <v>48</v>
      </c>
      <c r="F356" s="39">
        <v>31</v>
      </c>
      <c r="G356" s="40">
        <v>59.41</v>
      </c>
      <c r="H356" t="s" s="38">
        <v>19</v>
      </c>
      <c r="I356" s="41" cm="1">
        <f t="array" ref="I356">IF(F356=0,"",G356/F356)</f>
        <v>1.91645161290323</v>
      </c>
      <c r="J356" t="str" s="42" cm="1">
        <f t="array" ref="J356">CHOOSE(MIN(6,INT(F356/20)+1),"0–20","20–40","40–60","60–80","80–100","100–120")</f>
        <v>20–40</v>
      </c>
      <c r="K356" t="str" s="42" cm="1">
        <f t="array" ref="K356">CHOOSE(MATCH(F356,{0;20;40;60;80;100}),"0–20","20–40","40–60","60–80","80–100","100–120")</f>
        <v>20–40</v>
      </c>
      <c r="L356" t="b" s="43" cm="1">
        <f t="array" ref="L356">ISBLANK(F356)</f>
        <v>0</v>
      </c>
    </row>
    <row r="357" ht="18.5" customHeight="1">
      <c r="A357" t="s" s="44">
        <v>400</v>
      </c>
      <c r="B357" s="45">
        <v>45986</v>
      </c>
      <c r="C357" t="s" s="46">
        <v>16</v>
      </c>
      <c r="D357" t="s" s="46">
        <v>17</v>
      </c>
      <c r="E357" t="s" s="46">
        <v>65</v>
      </c>
      <c r="F357" s="47">
        <v>31</v>
      </c>
      <c r="G357" s="48">
        <v>47.25</v>
      </c>
      <c r="H357" t="s" s="49">
        <v>19</v>
      </c>
      <c r="I357" s="50" cm="1">
        <f t="array" ref="I357">IF(F357=0,"",G357/F357)</f>
        <v>1.5241935483871</v>
      </c>
      <c r="J357" t="str" s="42" cm="1">
        <f t="array" ref="J357">CHOOSE(MIN(6,INT(F357/20)+1),"0–20","20–40","40–60","60–80","80–100","100–120")</f>
        <v>20–40</v>
      </c>
      <c r="K357" t="str" s="42" cm="1">
        <f t="array" ref="K357">CHOOSE(MATCH(F357,{0;20;40;60;80;100}),"0–20","20–40","40–60","60–80","80–100","100–120")</f>
        <v>20–40</v>
      </c>
      <c r="L357" t="b" s="43" cm="1">
        <f t="array" ref="L357">ISBLANK(F357)</f>
        <v>0</v>
      </c>
    </row>
    <row r="358" ht="18.5" customHeight="1">
      <c r="A358" t="s" s="36">
        <v>401</v>
      </c>
      <c r="B358" s="37">
        <v>45986</v>
      </c>
      <c r="C358" t="s" s="38">
        <v>21</v>
      </c>
      <c r="D358" t="s" s="38">
        <v>22</v>
      </c>
      <c r="E358" t="s" s="38">
        <v>23</v>
      </c>
      <c r="F358" s="39">
        <v>25</v>
      </c>
      <c r="G358" s="40">
        <v>31.58</v>
      </c>
      <c r="H358" t="s" s="38">
        <v>19</v>
      </c>
      <c r="I358" s="41" cm="1">
        <f t="array" ref="I358">IF(F358=0,"",G358/F358)</f>
        <v>1.2632</v>
      </c>
      <c r="J358" t="str" s="42" cm="1">
        <f t="array" ref="J358">CHOOSE(MIN(6,INT(F358/20)+1),"0–20","20–40","40–60","60–80","80–100","100–120")</f>
        <v>20–40</v>
      </c>
      <c r="K358" t="str" s="42" cm="1">
        <f t="array" ref="K358">CHOOSE(MATCH(F358,{0;20;40;60;80;100}),"0–20","20–40","40–60","60–80","80–100","100–120")</f>
        <v>20–40</v>
      </c>
      <c r="L358" t="b" s="43" cm="1">
        <f t="array" ref="L358">ISBLANK(F358)</f>
        <v>0</v>
      </c>
    </row>
    <row r="359" ht="18.5" customHeight="1">
      <c r="A359" t="s" s="44">
        <v>402</v>
      </c>
      <c r="B359" s="45">
        <v>45988</v>
      </c>
      <c r="C359" t="s" s="46">
        <v>21</v>
      </c>
      <c r="D359" t="s" s="46">
        <v>51</v>
      </c>
      <c r="E359" t="s" s="46">
        <v>52</v>
      </c>
      <c r="F359" s="47">
        <v>25</v>
      </c>
      <c r="G359" s="48">
        <v>28.83</v>
      </c>
      <c r="H359" t="s" s="49">
        <v>19</v>
      </c>
      <c r="I359" s="50" cm="1">
        <f t="array" ref="I359">IF(F359=0,"",G359/F359)</f>
        <v>1.1532</v>
      </c>
      <c r="J359" t="str" s="42" cm="1">
        <f t="array" ref="J359">CHOOSE(MIN(6,INT(F359/20)+1),"0–20","20–40","40–60","60–80","80–100","100–120")</f>
        <v>20–40</v>
      </c>
      <c r="K359" t="str" s="42" cm="1">
        <f t="array" ref="K359">CHOOSE(MATCH(F359,{0;20;40;60;80;100}),"0–20","20–40","40–60","60–80","80–100","100–120")</f>
        <v>20–40</v>
      </c>
      <c r="L359" t="b" s="43" cm="1">
        <f t="array" ref="L359">ISBLANK(F359)</f>
        <v>0</v>
      </c>
    </row>
    <row r="360" ht="18.5" customHeight="1">
      <c r="A360" t="s" s="36">
        <v>403</v>
      </c>
      <c r="B360" s="37">
        <v>45989</v>
      </c>
      <c r="C360" t="s" s="38">
        <v>26</v>
      </c>
      <c r="D360" t="s" s="38">
        <v>45</v>
      </c>
      <c r="E360" t="s" s="38">
        <v>39</v>
      </c>
      <c r="F360" s="39">
        <v>36</v>
      </c>
      <c r="G360" s="40">
        <v>50.02</v>
      </c>
      <c r="H360" t="s" s="38">
        <v>19</v>
      </c>
      <c r="I360" s="41" cm="1">
        <f t="array" ref="I360">IF(F360=0,"",G360/F360)</f>
        <v>1.38944444444444</v>
      </c>
      <c r="J360" t="str" s="42" cm="1">
        <f t="array" ref="J360">CHOOSE(MIN(6,INT(F360/20)+1),"0–20","20–40","40–60","60–80","80–100","100–120")</f>
        <v>20–40</v>
      </c>
      <c r="K360" t="str" s="42" cm="1">
        <f t="array" ref="K360">CHOOSE(MATCH(F360,{0;20;40;60;80;100}),"0–20","20–40","40–60","60–80","80–100","100–120")</f>
        <v>20–40</v>
      </c>
      <c r="L360" t="b" s="43" cm="1">
        <f t="array" ref="L360">ISBLANK(F360)</f>
        <v>0</v>
      </c>
    </row>
    <row r="361" ht="18.5" customHeight="1">
      <c r="A361" t="s" s="44">
        <v>404</v>
      </c>
      <c r="B361" s="45">
        <v>45989</v>
      </c>
      <c r="C361" t="s" s="46">
        <v>21</v>
      </c>
      <c r="D361" t="s" s="46">
        <v>22</v>
      </c>
      <c r="E361" t="s" s="46">
        <v>52</v>
      </c>
      <c r="F361" s="47">
        <v>20</v>
      </c>
      <c r="G361" s="48">
        <v>22.09</v>
      </c>
      <c r="H361" t="s" s="49">
        <v>19</v>
      </c>
      <c r="I361" s="50" cm="1">
        <f t="array" ref="I361">IF(F361=0,"",G361/F361)</f>
        <v>1.1045</v>
      </c>
      <c r="J361" t="str" s="42" cm="1">
        <f t="array" ref="J361">CHOOSE(MIN(6,INT(F361/20)+1),"0–20","20–40","40–60","60–80","80–100","100–120")</f>
        <v>20–40</v>
      </c>
      <c r="K361" t="str" s="42" cm="1">
        <f t="array" ref="K361">CHOOSE(MATCH(F361,{0;20;40;60;80;100}),"0–20","20–40","40–60","60–80","80–100","100–120")</f>
        <v>20–40</v>
      </c>
      <c r="L361" t="b" s="43" cm="1">
        <f t="array" ref="L361">ISBLANK(F361)</f>
        <v>0</v>
      </c>
    </row>
    <row r="362" ht="18.5" customHeight="1">
      <c r="A362" t="s" s="36">
        <v>405</v>
      </c>
      <c r="B362" s="37">
        <v>45989</v>
      </c>
      <c r="C362" t="s" s="38">
        <v>34</v>
      </c>
      <c r="D362" t="s" s="38">
        <v>47</v>
      </c>
      <c r="E362" t="s" s="38">
        <v>59</v>
      </c>
      <c r="F362" s="39">
        <v>79</v>
      </c>
      <c r="G362" s="40">
        <v>134.75</v>
      </c>
      <c r="H362" t="s" s="38">
        <v>24</v>
      </c>
      <c r="I362" s="41" cm="1">
        <f t="array" ref="I362">IF(F362=0,"",G362/F362)</f>
        <v>1.70569620253165</v>
      </c>
      <c r="J362" t="str" s="42" cm="1">
        <f t="array" ref="J362">CHOOSE(MIN(6,INT(F362/20)+1),"0–20","20–40","40–60","60–80","80–100","100–120")</f>
        <v>60–80</v>
      </c>
      <c r="K362" t="str" s="42" cm="1">
        <f t="array" ref="K362">CHOOSE(MATCH(F362,{0;20;40;60;80;100}),"0–20","20–40","40–60","60–80","80–100","100–120")</f>
        <v>60–80</v>
      </c>
      <c r="L362" t="b" s="43" cm="1">
        <f t="array" ref="L362">ISBLANK(F362)</f>
        <v>0</v>
      </c>
    </row>
    <row r="363" ht="18.5" customHeight="1">
      <c r="A363" t="s" s="44">
        <v>406</v>
      </c>
      <c r="B363" s="45">
        <v>45990</v>
      </c>
      <c r="C363" t="s" s="46">
        <v>26</v>
      </c>
      <c r="D363" t="s" s="46">
        <v>38</v>
      </c>
      <c r="E363" t="s" s="46">
        <v>28</v>
      </c>
      <c r="F363" s="47">
        <v>54</v>
      </c>
      <c r="G363" s="48">
        <v>73.68000000000001</v>
      </c>
      <c r="H363" t="s" s="49">
        <v>24</v>
      </c>
      <c r="I363" s="50" cm="1">
        <f t="array" ref="I363">IF(F363=0,"",G363/F363)</f>
        <v>1.36444444444444</v>
      </c>
      <c r="J363" t="str" s="42" cm="1">
        <f t="array" ref="J363">CHOOSE(MIN(6,INT(F363/20)+1),"0–20","20–40","40–60","60–80","80–100","100–120")</f>
        <v>40–60</v>
      </c>
      <c r="K363" t="str" s="42" cm="1">
        <f t="array" ref="K363">CHOOSE(MATCH(F363,{0;20;40;60;80;100}),"0–20","20–40","40–60","60–80","80–100","100–120")</f>
        <v>40–60</v>
      </c>
      <c r="L363" t="b" s="43" cm="1">
        <f t="array" ref="L363">ISBLANK(F363)</f>
        <v>0</v>
      </c>
    </row>
    <row r="364" ht="18.5" customHeight="1">
      <c r="A364" t="s" s="36">
        <v>407</v>
      </c>
      <c r="B364" s="37">
        <v>45990</v>
      </c>
      <c r="C364" t="s" s="38">
        <v>26</v>
      </c>
      <c r="D364" t="s" s="38">
        <v>45</v>
      </c>
      <c r="E364" t="s" s="38">
        <v>39</v>
      </c>
      <c r="F364" s="39">
        <v>22</v>
      </c>
      <c r="G364" s="40">
        <v>30.51</v>
      </c>
      <c r="H364" t="s" s="38">
        <v>19</v>
      </c>
      <c r="I364" s="41" cm="1">
        <f t="array" ref="I364">IF(F364=0,"",G364/F364)</f>
        <v>1.38681818181818</v>
      </c>
      <c r="J364" t="str" s="42" cm="1">
        <f t="array" ref="J364">CHOOSE(MIN(6,INT(F364/20)+1),"0–20","20–40","40–60","60–80","80–100","100–120")</f>
        <v>20–40</v>
      </c>
      <c r="K364" t="str" s="42" cm="1">
        <f t="array" ref="K364">CHOOSE(MATCH(F364,{0;20;40;60;80;100}),"0–20","20–40","40–60","60–80","80–100","100–120")</f>
        <v>20–40</v>
      </c>
      <c r="L364" t="b" s="43" cm="1">
        <f t="array" ref="L364">ISBLANK(F364)</f>
        <v>0</v>
      </c>
    </row>
    <row r="365" ht="18.5" customHeight="1">
      <c r="A365" t="s" s="44">
        <v>408</v>
      </c>
      <c r="B365" s="45">
        <v>45991</v>
      </c>
      <c r="C365" t="s" s="46">
        <v>34</v>
      </c>
      <c r="D365" t="s" s="46">
        <v>35</v>
      </c>
      <c r="E365" t="s" s="46">
        <v>48</v>
      </c>
      <c r="F365" s="47">
        <v>53</v>
      </c>
      <c r="G365" s="48">
        <v>89.48999999999999</v>
      </c>
      <c r="H365" t="s" s="49">
        <v>19</v>
      </c>
      <c r="I365" s="50" cm="1">
        <f t="array" ref="I365">IF(F365=0,"",G365/F365)</f>
        <v>1.68849056603774</v>
      </c>
      <c r="J365" t="str" s="42" cm="1">
        <f t="array" ref="J365">CHOOSE(MIN(6,INT(F365/20)+1),"0–20","20–40","40–60","60–80","80–100","100–120")</f>
        <v>40–60</v>
      </c>
      <c r="K365" t="str" s="42" cm="1">
        <f t="array" ref="K365">CHOOSE(MATCH(F365,{0;20;40;60;80;100}),"0–20","20–40","40–60","60–80","80–100","100–120")</f>
        <v>40–60</v>
      </c>
      <c r="L365" t="b" s="43" cm="1">
        <f t="array" ref="L365">ISBLANK(F365)</f>
        <v>0</v>
      </c>
    </row>
    <row r="366" ht="18.5" customHeight="1">
      <c r="A366" t="s" s="36">
        <v>409</v>
      </c>
      <c r="B366" s="37">
        <v>45991</v>
      </c>
      <c r="C366" t="s" s="38">
        <v>26</v>
      </c>
      <c r="D366" t="s" s="38">
        <v>27</v>
      </c>
      <c r="E366" t="s" s="38">
        <v>39</v>
      </c>
      <c r="F366" s="39">
        <v>48</v>
      </c>
      <c r="G366" s="40">
        <v>73.17</v>
      </c>
      <c r="H366" t="s" s="38">
        <v>19</v>
      </c>
      <c r="I366" s="41" cm="1">
        <f t="array" ref="I366">IF(F366=0,"",G366/F366)</f>
        <v>1.524375</v>
      </c>
      <c r="J366" t="str" s="42" cm="1">
        <f t="array" ref="J366">CHOOSE(MIN(6,INT(F366/20)+1),"0–20","20–40","40–60","60–80","80–100","100–120")</f>
        <v>40–60</v>
      </c>
      <c r="K366" t="str" s="42" cm="1">
        <f t="array" ref="K366">CHOOSE(MATCH(F366,{0;20;40;60;80;100}),"0–20","20–40","40–60","60–80","80–100","100–120")</f>
        <v>40–60</v>
      </c>
      <c r="L366" t="b" s="43" cm="1">
        <f t="array" ref="L366">ISBLANK(F366)</f>
        <v>0</v>
      </c>
    </row>
    <row r="367" ht="18.5" customHeight="1">
      <c r="A367" t="s" s="44">
        <v>410</v>
      </c>
      <c r="B367" s="45">
        <v>45992</v>
      </c>
      <c r="C367" t="s" s="46">
        <v>26</v>
      </c>
      <c r="D367" t="s" s="46">
        <v>38</v>
      </c>
      <c r="E367" t="s" s="46">
        <v>28</v>
      </c>
      <c r="F367" s="47">
        <v>64</v>
      </c>
      <c r="G367" s="48">
        <v>102.43</v>
      </c>
      <c r="H367" t="s" s="49">
        <v>24</v>
      </c>
      <c r="I367" s="50" cm="1">
        <f t="array" ref="I367">IF(F367=0,"",G367/F367)</f>
        <v>1.60046875</v>
      </c>
      <c r="J367" t="str" s="42" cm="1">
        <f t="array" ref="J367">CHOOSE(MIN(6,INT(F367/20)+1),"0–20","20–40","40–60","60–80","80–100","100–120")</f>
        <v>60–80</v>
      </c>
      <c r="K367" t="str" s="42" cm="1">
        <f t="array" ref="K367">CHOOSE(MATCH(F367,{0;20;40;60;80;100}),"0–20","20–40","40–60","60–80","80–100","100–120")</f>
        <v>60–80</v>
      </c>
      <c r="L367" t="b" s="43" cm="1">
        <f t="array" ref="L367">ISBLANK(F367)</f>
        <v>0</v>
      </c>
    </row>
    <row r="368" ht="18.5" customHeight="1">
      <c r="A368" t="s" s="36">
        <v>411</v>
      </c>
      <c r="B368" s="37">
        <v>45995</v>
      </c>
      <c r="C368" t="s" s="38">
        <v>26</v>
      </c>
      <c r="D368" t="s" s="38">
        <v>38</v>
      </c>
      <c r="E368" t="s" s="38">
        <v>43</v>
      </c>
      <c r="F368" s="39">
        <v>59</v>
      </c>
      <c r="G368" s="40">
        <v>101.19</v>
      </c>
      <c r="H368" t="s" s="38">
        <v>24</v>
      </c>
      <c r="I368" s="41" cm="1">
        <f t="array" ref="I368">IF(F368=0,"",G368/F368)</f>
        <v>1.71508474576271</v>
      </c>
      <c r="J368" t="str" s="42" cm="1">
        <f t="array" ref="J368">CHOOSE(MIN(6,INT(F368/20)+1),"0–20","20–40","40–60","60–80","80–100","100–120")</f>
        <v>40–60</v>
      </c>
      <c r="K368" t="str" s="42" cm="1">
        <f t="array" ref="K368">CHOOSE(MATCH(F368,{0;20;40;60;80;100}),"0–20","20–40","40–60","60–80","80–100","100–120")</f>
        <v>40–60</v>
      </c>
      <c r="L368" t="b" s="43" cm="1">
        <f t="array" ref="L368">ISBLANK(F368)</f>
        <v>0</v>
      </c>
    </row>
    <row r="369" ht="18.5" customHeight="1">
      <c r="A369" t="s" s="44">
        <v>412</v>
      </c>
      <c r="B369" s="45">
        <v>45995</v>
      </c>
      <c r="C369" t="s" s="46">
        <v>30</v>
      </c>
      <c r="D369" t="s" s="46">
        <v>31</v>
      </c>
      <c r="E369" t="s" s="46">
        <v>43</v>
      </c>
      <c r="F369" s="47">
        <v>28</v>
      </c>
      <c r="G369" s="48">
        <v>38.34</v>
      </c>
      <c r="H369" t="s" s="49">
        <v>19</v>
      </c>
      <c r="I369" s="50" cm="1">
        <f t="array" ref="I369">IF(F369=0,"",G369/F369)</f>
        <v>1.36928571428571</v>
      </c>
      <c r="J369" t="str" s="42" cm="1">
        <f t="array" ref="J369">CHOOSE(MIN(6,INT(F369/20)+1),"0–20","20–40","40–60","60–80","80–100","100–120")</f>
        <v>20–40</v>
      </c>
      <c r="K369" t="str" s="42" cm="1">
        <f t="array" ref="K369">CHOOSE(MATCH(F369,{0;20;40;60;80;100}),"0–20","20–40","40–60","60–80","80–100","100–120")</f>
        <v>20–40</v>
      </c>
      <c r="L369" t="b" s="43" cm="1">
        <f t="array" ref="L369">ISBLANK(F369)</f>
        <v>0</v>
      </c>
    </row>
    <row r="370" ht="18.5" customHeight="1">
      <c r="A370" t="s" s="36">
        <v>413</v>
      </c>
      <c r="B370" s="37">
        <v>45998</v>
      </c>
      <c r="C370" t="s" s="38">
        <v>21</v>
      </c>
      <c r="D370" t="s" s="38">
        <v>22</v>
      </c>
      <c r="E370" t="s" s="38">
        <v>52</v>
      </c>
      <c r="F370" s="39">
        <v>31</v>
      </c>
      <c r="G370" s="40">
        <v>33.25</v>
      </c>
      <c r="H370" t="s" s="38">
        <v>24</v>
      </c>
      <c r="I370" s="41" cm="1">
        <f t="array" ref="I370">IF(F370=0,"",G370/F370)</f>
        <v>1.07258064516129</v>
      </c>
      <c r="J370" t="str" s="42" cm="1">
        <f t="array" ref="J370">CHOOSE(MIN(6,INT(F370/20)+1),"0–20","20–40","40–60","60–80","80–100","100–120")</f>
        <v>20–40</v>
      </c>
      <c r="K370" t="str" s="42" cm="1">
        <f t="array" ref="K370">CHOOSE(MATCH(F370,{0;20;40;60;80;100}),"0–20","20–40","40–60","60–80","80–100","100–120")</f>
        <v>20–40</v>
      </c>
      <c r="L370" t="b" s="43" cm="1">
        <f t="array" ref="L370">ISBLANK(F370)</f>
        <v>0</v>
      </c>
    </row>
    <row r="371" ht="18.5" customHeight="1">
      <c r="A371" t="s" s="44">
        <v>414</v>
      </c>
      <c r="B371" s="45">
        <v>45999</v>
      </c>
      <c r="C371" t="s" s="46">
        <v>26</v>
      </c>
      <c r="D371" t="s" s="46">
        <v>38</v>
      </c>
      <c r="E371" t="s" s="46">
        <v>43</v>
      </c>
      <c r="F371" s="47">
        <v>6</v>
      </c>
      <c r="G371" s="48">
        <v>9.32</v>
      </c>
      <c r="H371" t="s" s="49">
        <v>19</v>
      </c>
      <c r="I371" s="50" cm="1">
        <f t="array" ref="I371">IF(F371=0,"",G371/F371)</f>
        <v>1.55333333333333</v>
      </c>
      <c r="J371" t="str" s="42" cm="1">
        <f t="array" ref="J371">CHOOSE(MIN(6,INT(F371/20)+1),"0–20","20–40","40–60","60–80","80–100","100–120")</f>
        <v>0–20</v>
      </c>
      <c r="K371" t="str" s="42" cm="1">
        <f t="array" ref="K371">CHOOSE(MATCH(F371,{0;20;40;60;80;100}),"0–20","20–40","40–60","60–80","80–100","100–120")</f>
        <v>0–20</v>
      </c>
      <c r="L371" t="b" s="43" cm="1">
        <f t="array" ref="L371">ISBLANK(F371)</f>
        <v>0</v>
      </c>
    </row>
    <row r="372" ht="18.5" customHeight="1">
      <c r="A372" t="s" s="36">
        <v>415</v>
      </c>
      <c r="B372" s="37">
        <v>46001</v>
      </c>
      <c r="C372" t="s" s="38">
        <v>30</v>
      </c>
      <c r="D372" t="s" s="38">
        <v>31</v>
      </c>
      <c r="E372" t="s" s="38">
        <v>43</v>
      </c>
      <c r="F372" s="39">
        <v>21</v>
      </c>
      <c r="G372" s="40">
        <v>23.08</v>
      </c>
      <c r="H372" t="s" s="38">
        <v>19</v>
      </c>
      <c r="I372" s="41" cm="1">
        <f t="array" ref="I372">IF(F372=0,"",G372/F372)</f>
        <v>1.09904761904762</v>
      </c>
      <c r="J372" t="str" s="42" cm="1">
        <f t="array" ref="J372">CHOOSE(MIN(6,INT(F372/20)+1),"0–20","20–40","40–60","60–80","80–100","100–120")</f>
        <v>20–40</v>
      </c>
      <c r="K372" t="str" s="42" cm="1">
        <f t="array" ref="K372">CHOOSE(MATCH(F372,{0;20;40;60;80;100}),"0–20","20–40","40–60","60–80","80–100","100–120")</f>
        <v>20–40</v>
      </c>
      <c r="L372" t="b" s="43" cm="1">
        <f t="array" ref="L372">ISBLANK(F372)</f>
        <v>0</v>
      </c>
    </row>
    <row r="373" ht="18.5" customHeight="1">
      <c r="A373" t="s" s="44">
        <v>416</v>
      </c>
      <c r="B373" s="45">
        <v>46002</v>
      </c>
      <c r="C373" t="s" s="46">
        <v>34</v>
      </c>
      <c r="D373" t="s" s="46">
        <v>47</v>
      </c>
      <c r="E373" t="s" s="46">
        <v>36</v>
      </c>
      <c r="F373" s="47">
        <v>36</v>
      </c>
      <c r="G373" s="48">
        <v>72.45</v>
      </c>
      <c r="H373" t="s" s="49">
        <v>19</v>
      </c>
      <c r="I373" s="50" cm="1">
        <f t="array" ref="I373">IF(F373=0,"",G373/F373)</f>
        <v>2.0125</v>
      </c>
      <c r="J373" t="str" s="42" cm="1">
        <f t="array" ref="J373">CHOOSE(MIN(6,INT(F373/20)+1),"0–20","20–40","40–60","60–80","80–100","100–120")</f>
        <v>20–40</v>
      </c>
      <c r="K373" t="str" s="42" cm="1">
        <f t="array" ref="K373">CHOOSE(MATCH(F373,{0;20;40;60;80;100}),"0–20","20–40","40–60","60–80","80–100","100–120")</f>
        <v>20–40</v>
      </c>
      <c r="L373" t="b" s="43" cm="1">
        <f t="array" ref="L373">ISBLANK(F373)</f>
        <v>0</v>
      </c>
    </row>
    <row r="374" ht="18.5" customHeight="1">
      <c r="A374" t="s" s="36">
        <v>417</v>
      </c>
      <c r="B374" s="37">
        <v>46003</v>
      </c>
      <c r="C374" t="s" s="38">
        <v>26</v>
      </c>
      <c r="D374" t="s" s="38">
        <v>45</v>
      </c>
      <c r="E374" t="s" s="38">
        <v>43</v>
      </c>
      <c r="F374" s="39">
        <v>31</v>
      </c>
      <c r="G374" s="40">
        <v>43.82</v>
      </c>
      <c r="H374" t="s" s="38">
        <v>19</v>
      </c>
      <c r="I374" s="41" cm="1">
        <f t="array" ref="I374">IF(F374=0,"",G374/F374)</f>
        <v>1.41354838709677</v>
      </c>
      <c r="J374" t="str" s="42" cm="1">
        <f t="array" ref="J374">CHOOSE(MIN(6,INT(F374/20)+1),"0–20","20–40","40–60","60–80","80–100","100–120")</f>
        <v>20–40</v>
      </c>
      <c r="K374" t="str" s="42" cm="1">
        <f t="array" ref="K374">CHOOSE(MATCH(F374,{0;20;40;60;80;100}),"0–20","20–40","40–60","60–80","80–100","100–120")</f>
        <v>20–40</v>
      </c>
      <c r="L374" t="b" s="43" cm="1">
        <f t="array" ref="L374">ISBLANK(F374)</f>
        <v>0</v>
      </c>
    </row>
    <row r="375" ht="18.5" customHeight="1">
      <c r="A375" t="s" s="44">
        <v>418</v>
      </c>
      <c r="B375" s="45">
        <v>46003</v>
      </c>
      <c r="C375" t="s" s="46">
        <v>21</v>
      </c>
      <c r="D375" t="s" s="46">
        <v>22</v>
      </c>
      <c r="E375" t="s" s="46">
        <v>32</v>
      </c>
      <c r="F375" s="47">
        <v>16</v>
      </c>
      <c r="G375" s="48">
        <v>19.32</v>
      </c>
      <c r="H375" t="s" s="49">
        <v>19</v>
      </c>
      <c r="I375" s="50" cm="1">
        <f t="array" ref="I375">IF(F375=0,"",G375/F375)</f>
        <v>1.2075</v>
      </c>
      <c r="J375" t="str" s="42" cm="1">
        <f t="array" ref="J375">CHOOSE(MIN(6,INT(F375/20)+1),"0–20","20–40","40–60","60–80","80–100","100–120")</f>
        <v>0–20</v>
      </c>
      <c r="K375" t="str" s="42" cm="1">
        <f t="array" ref="K375">CHOOSE(MATCH(F375,{0;20;40;60;80;100}),"0–20","20–40","40–60","60–80","80–100","100–120")</f>
        <v>0–20</v>
      </c>
      <c r="L375" t="b" s="43" cm="1">
        <f t="array" ref="L375">ISBLANK(F375)</f>
        <v>0</v>
      </c>
    </row>
    <row r="376" ht="18.5" customHeight="1">
      <c r="A376" t="s" s="36">
        <v>419</v>
      </c>
      <c r="B376" s="37">
        <v>46005</v>
      </c>
      <c r="C376" t="s" s="38">
        <v>34</v>
      </c>
      <c r="D376" t="s" s="38">
        <v>35</v>
      </c>
      <c r="E376" t="s" s="38">
        <v>48</v>
      </c>
      <c r="F376" s="39">
        <v>33</v>
      </c>
      <c r="G376" s="40">
        <v>66.06</v>
      </c>
      <c r="H376" t="s" s="38">
        <v>19</v>
      </c>
      <c r="I376" s="41" cm="1">
        <f t="array" ref="I376">IF(F376=0,"",G376/F376)</f>
        <v>2.00181818181818</v>
      </c>
      <c r="J376" t="str" s="42" cm="1">
        <f t="array" ref="J376">CHOOSE(MIN(6,INT(F376/20)+1),"0–20","20–40","40–60","60–80","80–100","100–120")</f>
        <v>20–40</v>
      </c>
      <c r="K376" t="str" s="42" cm="1">
        <f t="array" ref="K376">CHOOSE(MATCH(F376,{0;20;40;60;80;100}),"0–20","20–40","40–60","60–80","80–100","100–120")</f>
        <v>20–40</v>
      </c>
      <c r="L376" t="b" s="43" cm="1">
        <f t="array" ref="L376">ISBLANK(F376)</f>
        <v>0</v>
      </c>
    </row>
    <row r="377" ht="18.5" customHeight="1">
      <c r="A377" t="s" s="44">
        <v>420</v>
      </c>
      <c r="B377" s="45">
        <v>46005</v>
      </c>
      <c r="C377" t="s" s="46">
        <v>16</v>
      </c>
      <c r="D377" t="s" s="46">
        <v>63</v>
      </c>
      <c r="E377" t="s" s="46">
        <v>36</v>
      </c>
      <c r="F377" s="47">
        <v>56</v>
      </c>
      <c r="G377" s="48">
        <v>88.84999999999999</v>
      </c>
      <c r="H377" t="s" s="49">
        <v>24</v>
      </c>
      <c r="I377" s="50" cm="1">
        <f t="array" ref="I377">IF(F377=0,"",G377/F377)</f>
        <v>1.58660714285714</v>
      </c>
      <c r="J377" t="str" s="42" cm="1">
        <f t="array" ref="J377">CHOOSE(MIN(6,INT(F377/20)+1),"0–20","20–40","40–60","60–80","80–100","100–120")</f>
        <v>40–60</v>
      </c>
      <c r="K377" t="str" s="42" cm="1">
        <f t="array" ref="K377">CHOOSE(MATCH(F377,{0;20;40;60;80;100}),"0–20","20–40","40–60","60–80","80–100","100–120")</f>
        <v>40–60</v>
      </c>
      <c r="L377" t="b" s="43" cm="1">
        <f t="array" ref="L377">ISBLANK(F377)</f>
        <v>0</v>
      </c>
    </row>
    <row r="378" ht="18.5" customHeight="1">
      <c r="A378" t="s" s="36">
        <v>421</v>
      </c>
      <c r="B378" s="37">
        <v>46006</v>
      </c>
      <c r="C378" t="s" s="38">
        <v>16</v>
      </c>
      <c r="D378" t="s" s="38">
        <v>17</v>
      </c>
      <c r="E378" t="s" s="38">
        <v>65</v>
      </c>
      <c r="F378" s="39">
        <v>52</v>
      </c>
      <c r="G378" s="40">
        <v>81.95999999999999</v>
      </c>
      <c r="H378" t="s" s="38">
        <v>24</v>
      </c>
      <c r="I378" s="41" cm="1">
        <f t="array" ref="I378">IF(F378=0,"",G378/F378)</f>
        <v>1.57615384615385</v>
      </c>
      <c r="J378" t="str" s="42" cm="1">
        <f t="array" ref="J378">CHOOSE(MIN(6,INT(F378/20)+1),"0–20","20–40","40–60","60–80","80–100","100–120")</f>
        <v>40–60</v>
      </c>
      <c r="K378" t="str" s="42" cm="1">
        <f t="array" ref="K378">CHOOSE(MATCH(F378,{0;20;40;60;80;100}),"0–20","20–40","40–60","60–80","80–100","100–120")</f>
        <v>40–60</v>
      </c>
      <c r="L378" t="b" s="43" cm="1">
        <f t="array" ref="L378">ISBLANK(F378)</f>
        <v>0</v>
      </c>
    </row>
    <row r="379" ht="18.5" customHeight="1">
      <c r="A379" t="s" s="44">
        <v>422</v>
      </c>
      <c r="B379" s="45">
        <v>46006</v>
      </c>
      <c r="C379" t="s" s="46">
        <v>21</v>
      </c>
      <c r="D379" t="s" s="46">
        <v>51</v>
      </c>
      <c r="E379" t="s" s="46">
        <v>52</v>
      </c>
      <c r="F379" s="47">
        <v>38</v>
      </c>
      <c r="G379" s="48">
        <v>44.37</v>
      </c>
      <c r="H379" t="s" s="49">
        <v>24</v>
      </c>
      <c r="I379" s="50" cm="1">
        <f t="array" ref="I379">IF(F379=0,"",G379/F379)</f>
        <v>1.16763157894737</v>
      </c>
      <c r="J379" t="str" s="42" cm="1">
        <f t="array" ref="J379">CHOOSE(MIN(6,INT(F379/20)+1),"0–20","20–40","40–60","60–80","80–100","100–120")</f>
        <v>20–40</v>
      </c>
      <c r="K379" t="str" s="42" cm="1">
        <f t="array" ref="K379">CHOOSE(MATCH(F379,{0;20;40;60;80;100}),"0–20","20–40","40–60","60–80","80–100","100–120")</f>
        <v>20–40</v>
      </c>
      <c r="L379" t="b" s="43" cm="1">
        <f t="array" ref="L379">ISBLANK(F379)</f>
        <v>0</v>
      </c>
    </row>
    <row r="380" ht="18.5" customHeight="1">
      <c r="A380" t="s" s="36">
        <v>423</v>
      </c>
      <c r="B380" s="37">
        <v>46007</v>
      </c>
      <c r="C380" t="s" s="38">
        <v>30</v>
      </c>
      <c r="D380" t="s" s="38">
        <v>42</v>
      </c>
      <c r="E380" t="s" s="38">
        <v>43</v>
      </c>
      <c r="F380" s="39">
        <v>28</v>
      </c>
      <c r="G380" s="40">
        <v>33.43</v>
      </c>
      <c r="H380" t="s" s="38">
        <v>19</v>
      </c>
      <c r="I380" s="41" cm="1">
        <f t="array" ref="I380">IF(F380=0,"",G380/F380)</f>
        <v>1.19392857142857</v>
      </c>
      <c r="J380" t="str" s="42" cm="1">
        <f t="array" ref="J380">CHOOSE(MIN(6,INT(F380/20)+1),"0–20","20–40","40–60","60–80","80–100","100–120")</f>
        <v>20–40</v>
      </c>
      <c r="K380" t="str" s="42" cm="1">
        <f t="array" ref="K380">CHOOSE(MATCH(F380,{0;20;40;60;80;100}),"0–20","20–40","40–60","60–80","80–100","100–120")</f>
        <v>20–40</v>
      </c>
      <c r="L380" t="b" s="43" cm="1">
        <f t="array" ref="L380">ISBLANK(F380)</f>
        <v>0</v>
      </c>
    </row>
    <row r="381" ht="18.5" customHeight="1">
      <c r="A381" t="s" s="44">
        <v>424</v>
      </c>
      <c r="B381" s="45">
        <v>46008</v>
      </c>
      <c r="C381" t="s" s="46">
        <v>21</v>
      </c>
      <c r="D381" t="s" s="46">
        <v>51</v>
      </c>
      <c r="E381" t="s" s="46">
        <v>52</v>
      </c>
      <c r="F381" s="47">
        <v>7</v>
      </c>
      <c r="G381" s="48">
        <v>8.220000000000001</v>
      </c>
      <c r="H381" t="s" s="49">
        <v>19</v>
      </c>
      <c r="I381" s="50" cm="1">
        <f t="array" ref="I381">IF(F381=0,"",G381/F381)</f>
        <v>1.17428571428571</v>
      </c>
      <c r="J381" t="str" s="42" cm="1">
        <f t="array" ref="J381">CHOOSE(MIN(6,INT(F381/20)+1),"0–20","20–40","40–60","60–80","80–100","100–120")</f>
        <v>0–20</v>
      </c>
      <c r="K381" t="str" s="42" cm="1">
        <f t="array" ref="K381">CHOOSE(MATCH(F381,{0;20;40;60;80;100}),"0–20","20–40","40–60","60–80","80–100","100–120")</f>
        <v>0–20</v>
      </c>
      <c r="L381" t="b" s="43" cm="1">
        <f t="array" ref="L381">ISBLANK(F381)</f>
        <v>0</v>
      </c>
    </row>
    <row r="382" ht="18.5" customHeight="1">
      <c r="A382" t="s" s="36">
        <v>425</v>
      </c>
      <c r="B382" s="37">
        <v>46010</v>
      </c>
      <c r="C382" t="s" s="38">
        <v>34</v>
      </c>
      <c r="D382" t="s" s="38">
        <v>47</v>
      </c>
      <c r="E382" t="s" s="38">
        <v>59</v>
      </c>
      <c r="F382" s="39">
        <v>38</v>
      </c>
      <c r="G382" s="40">
        <v>71.93000000000001</v>
      </c>
      <c r="H382" t="s" s="38">
        <v>19</v>
      </c>
      <c r="I382" s="41" cm="1">
        <f t="array" ref="I382">IF(F382=0,"",G382/F382)</f>
        <v>1.89289473684211</v>
      </c>
      <c r="J382" t="str" s="42" cm="1">
        <f t="array" ref="J382">CHOOSE(MIN(6,INT(F382/20)+1),"0–20","20–40","40–60","60–80","80–100","100–120")</f>
        <v>20–40</v>
      </c>
      <c r="K382" t="str" s="42" cm="1">
        <f t="array" ref="K382">CHOOSE(MATCH(F382,{0;20;40;60;80;100}),"0–20","20–40","40–60","60–80","80–100","100–120")</f>
        <v>20–40</v>
      </c>
      <c r="L382" t="b" s="43" cm="1">
        <f t="array" ref="L382">ISBLANK(F382)</f>
        <v>0</v>
      </c>
    </row>
    <row r="383" ht="18.5" customHeight="1">
      <c r="A383" t="s" s="44">
        <v>426</v>
      </c>
      <c r="B383" s="45">
        <v>46011</v>
      </c>
      <c r="C383" t="s" s="46">
        <v>26</v>
      </c>
      <c r="D383" t="s" s="46">
        <v>38</v>
      </c>
      <c r="E383" t="s" s="46">
        <v>43</v>
      </c>
      <c r="F383" s="47">
        <v>48</v>
      </c>
      <c r="G383" s="48">
        <v>73.52</v>
      </c>
      <c r="H383" t="s" s="49">
        <v>19</v>
      </c>
      <c r="I383" s="50" cm="1">
        <f t="array" ref="I383">IF(F383=0,"",G383/F383)</f>
        <v>1.53166666666667</v>
      </c>
      <c r="J383" t="str" s="42" cm="1">
        <f t="array" ref="J383">CHOOSE(MIN(6,INT(F383/20)+1),"0–20","20–40","40–60","60–80","80–100","100–120")</f>
        <v>40–60</v>
      </c>
      <c r="K383" t="str" s="42" cm="1">
        <f t="array" ref="K383">CHOOSE(MATCH(F383,{0;20;40;60;80;100}),"0–20","20–40","40–60","60–80","80–100","100–120")</f>
        <v>40–60</v>
      </c>
      <c r="L383" t="b" s="43" cm="1">
        <f t="array" ref="L383">ISBLANK(F383)</f>
        <v>0</v>
      </c>
    </row>
    <row r="384" ht="18.5" customHeight="1">
      <c r="A384" t="s" s="36">
        <v>427</v>
      </c>
      <c r="B384" s="37">
        <v>46011</v>
      </c>
      <c r="C384" t="s" s="38">
        <v>26</v>
      </c>
      <c r="D384" t="s" s="38">
        <v>45</v>
      </c>
      <c r="E384" t="s" s="38">
        <v>28</v>
      </c>
      <c r="F384" s="39">
        <v>71</v>
      </c>
      <c r="G384" s="40">
        <v>98.69</v>
      </c>
      <c r="H384" t="s" s="38">
        <v>24</v>
      </c>
      <c r="I384" s="41" cm="1">
        <f t="array" ref="I384">IF(F384=0,"",G384/F384)</f>
        <v>1.39</v>
      </c>
      <c r="J384" t="str" s="42" cm="1">
        <f t="array" ref="J384">CHOOSE(MIN(6,INT(F384/20)+1),"0–20","20–40","40–60","60–80","80–100","100–120")</f>
        <v>60–80</v>
      </c>
      <c r="K384" t="str" s="42" cm="1">
        <f t="array" ref="K384">CHOOSE(MATCH(F384,{0;20;40;60;80;100}),"0–20","20–40","40–60","60–80","80–100","100–120")</f>
        <v>60–80</v>
      </c>
      <c r="L384" t="b" s="43" cm="1">
        <f t="array" ref="L384">ISBLANK(F384)</f>
        <v>0</v>
      </c>
    </row>
    <row r="385" ht="18.5" customHeight="1">
      <c r="A385" t="s" s="44">
        <v>428</v>
      </c>
      <c r="B385" s="45">
        <v>46011</v>
      </c>
      <c r="C385" t="s" s="46">
        <v>26</v>
      </c>
      <c r="D385" t="s" s="46">
        <v>45</v>
      </c>
      <c r="E385" t="s" s="46">
        <v>39</v>
      </c>
      <c r="F385" s="47">
        <v>15</v>
      </c>
      <c r="G385" s="48">
        <v>25.6</v>
      </c>
      <c r="H385" t="s" s="49">
        <v>19</v>
      </c>
      <c r="I385" s="50" cm="1">
        <f t="array" ref="I385">IF(F385=0,"",G385/F385)</f>
        <v>1.70666666666667</v>
      </c>
      <c r="J385" t="str" s="42" cm="1">
        <f t="array" ref="J385">CHOOSE(MIN(6,INT(F385/20)+1),"0–20","20–40","40–60","60–80","80–100","100–120")</f>
        <v>0–20</v>
      </c>
      <c r="K385" t="str" s="42" cm="1">
        <f t="array" ref="K385">CHOOSE(MATCH(F385,{0;20;40;60;80;100}),"0–20","20–40","40–60","60–80","80–100","100–120")</f>
        <v>0–20</v>
      </c>
      <c r="L385" t="b" s="43" cm="1">
        <f t="array" ref="L385">ISBLANK(F385)</f>
        <v>0</v>
      </c>
    </row>
    <row r="386" ht="18.5" customHeight="1">
      <c r="A386" t="s" s="36">
        <v>429</v>
      </c>
      <c r="B386" s="37">
        <v>46011</v>
      </c>
      <c r="C386" t="s" s="38">
        <v>16</v>
      </c>
      <c r="D386" t="s" s="38">
        <v>17</v>
      </c>
      <c r="E386" t="s" s="38">
        <v>18</v>
      </c>
      <c r="F386" s="39">
        <v>16</v>
      </c>
      <c r="G386" s="40">
        <v>28.13</v>
      </c>
      <c r="H386" t="s" s="38">
        <v>19</v>
      </c>
      <c r="I386" s="41" cm="1">
        <f t="array" ref="I386">IF(F386=0,"",G386/F386)</f>
        <v>1.758125</v>
      </c>
      <c r="J386" t="str" s="42" cm="1">
        <f t="array" ref="J386">CHOOSE(MIN(6,INT(F386/20)+1),"0–20","20–40","40–60","60–80","80–100","100–120")</f>
        <v>0–20</v>
      </c>
      <c r="K386" t="str" s="42" cm="1">
        <f t="array" ref="K386">CHOOSE(MATCH(F386,{0;20;40;60;80;100}),"0–20","20–40","40–60","60–80","80–100","100–120")</f>
        <v>0–20</v>
      </c>
      <c r="L386" t="b" s="43" cm="1">
        <f t="array" ref="L386">ISBLANK(F386)</f>
        <v>0</v>
      </c>
    </row>
    <row r="387" ht="18.5" customHeight="1">
      <c r="A387" t="s" s="44">
        <v>430</v>
      </c>
      <c r="B387" s="45">
        <v>46014</v>
      </c>
      <c r="C387" t="s" s="46">
        <v>21</v>
      </c>
      <c r="D387" t="s" s="46">
        <v>22</v>
      </c>
      <c r="E387" t="s" s="46">
        <v>32</v>
      </c>
      <c r="F387" s="47">
        <v>25</v>
      </c>
      <c r="G387" s="48">
        <v>25.15</v>
      </c>
      <c r="H387" t="s" s="49">
        <v>19</v>
      </c>
      <c r="I387" s="50" cm="1">
        <f t="array" ref="I387">IF(F387=0,"",G387/F387)</f>
        <v>1.006</v>
      </c>
      <c r="J387" t="str" s="42" cm="1">
        <f t="array" ref="J387">CHOOSE(MIN(6,INT(F387/20)+1),"0–20","20–40","40–60","60–80","80–100","100–120")</f>
        <v>20–40</v>
      </c>
      <c r="K387" t="str" s="42" cm="1">
        <f t="array" ref="K387">CHOOSE(MATCH(F387,{0;20;40;60;80;100}),"0–20","20–40","40–60","60–80","80–100","100–120")</f>
        <v>20–40</v>
      </c>
      <c r="L387" t="b" s="43" cm="1">
        <f t="array" ref="L387">ISBLANK(F387)</f>
        <v>0</v>
      </c>
    </row>
    <row r="388" ht="18.5" customHeight="1">
      <c r="A388" t="s" s="36">
        <v>431</v>
      </c>
      <c r="B388" s="37">
        <v>46014</v>
      </c>
      <c r="C388" t="s" s="38">
        <v>30</v>
      </c>
      <c r="D388" t="s" s="38">
        <v>42</v>
      </c>
      <c r="E388" t="s" s="38">
        <v>43</v>
      </c>
      <c r="F388" s="39">
        <v>21</v>
      </c>
      <c r="G388" s="40">
        <v>24.25</v>
      </c>
      <c r="H388" t="s" s="38">
        <v>19</v>
      </c>
      <c r="I388" s="41" cm="1">
        <f t="array" ref="I388">IF(F388=0,"",G388/F388)</f>
        <v>1.1547619047619</v>
      </c>
      <c r="J388" t="str" s="42" cm="1">
        <f t="array" ref="J388">CHOOSE(MIN(6,INT(F388/20)+1),"0–20","20–40","40–60","60–80","80–100","100–120")</f>
        <v>20–40</v>
      </c>
      <c r="K388" t="str" s="42" cm="1">
        <f t="array" ref="K388">CHOOSE(MATCH(F388,{0;20;40;60;80;100}),"0–20","20–40","40–60","60–80","80–100","100–120")</f>
        <v>20–40</v>
      </c>
      <c r="L388" t="b" s="43" cm="1">
        <f t="array" ref="L388">ISBLANK(F388)</f>
        <v>0</v>
      </c>
    </row>
    <row r="389" ht="18.5" customHeight="1">
      <c r="A389" t="s" s="44">
        <v>432</v>
      </c>
      <c r="B389" s="45">
        <v>46014</v>
      </c>
      <c r="C389" t="s" s="46">
        <v>21</v>
      </c>
      <c r="D389" t="s" s="46">
        <v>22</v>
      </c>
      <c r="E389" t="s" s="46">
        <v>52</v>
      </c>
      <c r="F389" s="47">
        <v>34</v>
      </c>
      <c r="G389" s="48">
        <v>40.6</v>
      </c>
      <c r="H389" t="s" s="49">
        <v>24</v>
      </c>
      <c r="I389" s="50" cm="1">
        <f t="array" ref="I389">IF(F389=0,"",G389/F389)</f>
        <v>1.19411764705882</v>
      </c>
      <c r="J389" t="str" s="42" cm="1">
        <f t="array" ref="J389">CHOOSE(MIN(6,INT(F389/20)+1),"0–20","20–40","40–60","60–80","80–100","100–120")</f>
        <v>20–40</v>
      </c>
      <c r="K389" t="str" s="42" cm="1">
        <f t="array" ref="K389">CHOOSE(MATCH(F389,{0;20;40;60;80;100}),"0–20","20–40","40–60","60–80","80–100","100–120")</f>
        <v>20–40</v>
      </c>
      <c r="L389" t="b" s="43" cm="1">
        <f t="array" ref="L389">ISBLANK(F389)</f>
        <v>0</v>
      </c>
    </row>
    <row r="390" ht="18.5" customHeight="1">
      <c r="A390" t="s" s="36">
        <v>433</v>
      </c>
      <c r="B390" s="37">
        <v>46014</v>
      </c>
      <c r="C390" t="s" s="38">
        <v>26</v>
      </c>
      <c r="D390" t="s" s="38">
        <v>27</v>
      </c>
      <c r="E390" t="s" s="38">
        <v>28</v>
      </c>
      <c r="F390" s="39">
        <v>22</v>
      </c>
      <c r="G390" s="40">
        <v>35.97</v>
      </c>
      <c r="H390" t="s" s="38">
        <v>19</v>
      </c>
      <c r="I390" s="41" cm="1">
        <f t="array" ref="I390">IF(F390=0,"",G390/F390)</f>
        <v>1.635</v>
      </c>
      <c r="J390" t="str" s="42" cm="1">
        <f t="array" ref="J390">CHOOSE(MIN(6,INT(F390/20)+1),"0–20","20–40","40–60","60–80","80–100","100–120")</f>
        <v>20–40</v>
      </c>
      <c r="K390" t="str" s="42" cm="1">
        <f t="array" ref="K390">CHOOSE(MATCH(F390,{0;20;40;60;80;100}),"0–20","20–40","40–60","60–80","80–100","100–120")</f>
        <v>20–40</v>
      </c>
      <c r="L390" t="b" s="43" cm="1">
        <f t="array" ref="L390">ISBLANK(F390)</f>
        <v>0</v>
      </c>
    </row>
    <row r="391" ht="18.5" customHeight="1">
      <c r="A391" t="s" s="44">
        <v>434</v>
      </c>
      <c r="B391" s="45">
        <v>46016</v>
      </c>
      <c r="C391" t="s" s="46">
        <v>26</v>
      </c>
      <c r="D391" t="s" s="46">
        <v>45</v>
      </c>
      <c r="E391" t="s" s="46">
        <v>28</v>
      </c>
      <c r="F391" s="47">
        <v>22</v>
      </c>
      <c r="G391" s="48">
        <v>30.85</v>
      </c>
      <c r="H391" t="s" s="49">
        <v>19</v>
      </c>
      <c r="I391" s="50" cm="1">
        <f t="array" ref="I391">IF(F391=0,"",G391/F391)</f>
        <v>1.40227272727273</v>
      </c>
      <c r="J391" t="str" s="42" cm="1">
        <f t="array" ref="J391">CHOOSE(MIN(6,INT(F391/20)+1),"0–20","20–40","40–60","60–80","80–100","100–120")</f>
        <v>20–40</v>
      </c>
      <c r="K391" t="str" s="42" cm="1">
        <f t="array" ref="K391">CHOOSE(MATCH(F391,{0;20;40;60;80;100}),"0–20","20–40","40–60","60–80","80–100","100–120")</f>
        <v>20–40</v>
      </c>
      <c r="L391" t="b" s="43" cm="1">
        <f t="array" ref="L391">ISBLANK(F391)</f>
        <v>0</v>
      </c>
    </row>
    <row r="392" ht="18.5" customHeight="1">
      <c r="A392" t="s" s="36">
        <v>435</v>
      </c>
      <c r="B392" s="37">
        <v>46016</v>
      </c>
      <c r="C392" t="s" s="38">
        <v>34</v>
      </c>
      <c r="D392" t="s" s="38">
        <v>35</v>
      </c>
      <c r="E392" t="s" s="38">
        <v>59</v>
      </c>
      <c r="F392" s="39">
        <v>47</v>
      </c>
      <c r="G392" s="40">
        <v>90.73999999999999</v>
      </c>
      <c r="H392" t="s" s="38">
        <v>19</v>
      </c>
      <c r="I392" s="41" cm="1">
        <f t="array" ref="I392">IF(F392=0,"",G392/F392)</f>
        <v>1.93063829787234</v>
      </c>
      <c r="J392" t="str" s="42" cm="1">
        <f t="array" ref="J392">CHOOSE(MIN(6,INT(F392/20)+1),"0–20","20–40","40–60","60–80","80–100","100–120")</f>
        <v>40–60</v>
      </c>
      <c r="K392" t="str" s="42" cm="1">
        <f t="array" ref="K392">CHOOSE(MATCH(F392,{0;20;40;60;80;100}),"0–20","20–40","40–60","60–80","80–100","100–120")</f>
        <v>40–60</v>
      </c>
      <c r="L392" t="b" s="43" cm="1">
        <f t="array" ref="L392">ISBLANK(F392)</f>
        <v>0</v>
      </c>
    </row>
    <row r="393" ht="18.5" customHeight="1">
      <c r="A393" t="s" s="44">
        <v>436</v>
      </c>
      <c r="B393" s="45">
        <v>46017</v>
      </c>
      <c r="C393" t="s" s="46">
        <v>34</v>
      </c>
      <c r="D393" t="s" s="46">
        <v>35</v>
      </c>
      <c r="E393" t="s" s="46">
        <v>59</v>
      </c>
      <c r="F393" s="47">
        <v>23</v>
      </c>
      <c r="G393" s="48">
        <v>39.56</v>
      </c>
      <c r="H393" t="s" s="49">
        <v>19</v>
      </c>
      <c r="I393" s="50" cm="1">
        <f t="array" ref="I393">IF(F393=0,"",G393/F393)</f>
        <v>1.72</v>
      </c>
      <c r="J393" t="str" s="42" cm="1">
        <f t="array" ref="J393">CHOOSE(MIN(6,INT(F393/20)+1),"0–20","20–40","40–60","60–80","80–100","100–120")</f>
        <v>20–40</v>
      </c>
      <c r="K393" t="str" s="42" cm="1">
        <f t="array" ref="K393">CHOOSE(MATCH(F393,{0;20;40;60;80;100}),"0–20","20–40","40–60","60–80","80–100","100–120")</f>
        <v>20–40</v>
      </c>
      <c r="L393" t="b" s="43" cm="1">
        <f t="array" ref="L393">ISBLANK(F393)</f>
        <v>0</v>
      </c>
    </row>
    <row r="394" ht="18.5" customHeight="1">
      <c r="A394" t="s" s="36">
        <v>437</v>
      </c>
      <c r="B394" s="37">
        <v>46017</v>
      </c>
      <c r="C394" t="s" s="38">
        <v>21</v>
      </c>
      <c r="D394" t="s" s="38">
        <v>51</v>
      </c>
      <c r="E394" t="s" s="38">
        <v>52</v>
      </c>
      <c r="F394" s="39">
        <v>15</v>
      </c>
      <c r="G394" s="40">
        <v>18.76</v>
      </c>
      <c r="H394" t="s" s="38">
        <v>19</v>
      </c>
      <c r="I394" s="41" cm="1">
        <f t="array" ref="I394">IF(F394=0,"",G394/F394)</f>
        <v>1.25066666666667</v>
      </c>
      <c r="J394" t="str" s="42" cm="1">
        <f t="array" ref="J394">CHOOSE(MIN(6,INT(F394/20)+1),"0–20","20–40","40–60","60–80","80–100","100–120")</f>
        <v>0–20</v>
      </c>
      <c r="K394" t="str" s="42" cm="1">
        <f t="array" ref="K394">CHOOSE(MATCH(F394,{0;20;40;60;80;100}),"0–20","20–40","40–60","60–80","80–100","100–120")</f>
        <v>0–20</v>
      </c>
      <c r="L394" t="b" s="43" cm="1">
        <f t="array" ref="L394">ISBLANK(F394)</f>
        <v>0</v>
      </c>
    </row>
    <row r="395" ht="18.5" customHeight="1">
      <c r="A395" t="s" s="44">
        <v>438</v>
      </c>
      <c r="B395" s="45">
        <v>46017</v>
      </c>
      <c r="C395" t="s" s="46">
        <v>34</v>
      </c>
      <c r="D395" t="s" s="46">
        <v>35</v>
      </c>
      <c r="E395" t="s" s="46">
        <v>59</v>
      </c>
      <c r="F395" s="47">
        <v>38</v>
      </c>
      <c r="G395" s="48">
        <v>67.36</v>
      </c>
      <c r="H395" t="s" s="49">
        <v>19</v>
      </c>
      <c r="I395" s="50" cm="1">
        <f t="array" ref="I395">IF(F395=0,"",G395/F395)</f>
        <v>1.77263157894737</v>
      </c>
      <c r="J395" t="str" s="42" cm="1">
        <f t="array" ref="J395">CHOOSE(MIN(6,INT(F395/20)+1),"0–20","20–40","40–60","60–80","80–100","100–120")</f>
        <v>20–40</v>
      </c>
      <c r="K395" t="str" s="42" cm="1">
        <f t="array" ref="K395">CHOOSE(MATCH(F395,{0;20;40;60;80;100}),"0–20","20–40","40–60","60–80","80–100","100–120")</f>
        <v>20–40</v>
      </c>
      <c r="L395" t="b" s="43" cm="1">
        <f t="array" ref="L395">ISBLANK(F395)</f>
        <v>0</v>
      </c>
    </row>
    <row r="396" ht="18.5" customHeight="1">
      <c r="A396" t="s" s="36">
        <v>439</v>
      </c>
      <c r="B396" s="37">
        <v>46018</v>
      </c>
      <c r="C396" t="s" s="38">
        <v>21</v>
      </c>
      <c r="D396" t="s" s="38">
        <v>22</v>
      </c>
      <c r="E396" t="s" s="38">
        <v>32</v>
      </c>
      <c r="F396" s="39">
        <v>16</v>
      </c>
      <c r="G396" s="40">
        <v>16.04</v>
      </c>
      <c r="H396" t="s" s="38">
        <v>19</v>
      </c>
      <c r="I396" s="41" cm="1">
        <f t="array" ref="I396">IF(F396=0,"",G396/F396)</f>
        <v>1.0025</v>
      </c>
      <c r="J396" t="str" s="42" cm="1">
        <f t="array" ref="J396">CHOOSE(MIN(6,INT(F396/20)+1),"0–20","20–40","40–60","60–80","80–100","100–120")</f>
        <v>0–20</v>
      </c>
      <c r="K396" t="str" s="42" cm="1">
        <f t="array" ref="K396">CHOOSE(MATCH(F396,{0;20;40;60;80;100}),"0–20","20–40","40–60","60–80","80–100","100–120")</f>
        <v>0–20</v>
      </c>
      <c r="L396" t="b" s="43" cm="1">
        <f t="array" ref="L396">ISBLANK(F396)</f>
        <v>0</v>
      </c>
    </row>
    <row r="397" ht="18.5" customHeight="1">
      <c r="A397" t="s" s="44">
        <v>440</v>
      </c>
      <c r="B397" s="45">
        <v>46018</v>
      </c>
      <c r="C397" t="s" s="46">
        <v>26</v>
      </c>
      <c r="D397" t="s" s="46">
        <v>27</v>
      </c>
      <c r="E397" t="s" s="46">
        <v>28</v>
      </c>
      <c r="F397" s="47">
        <v>59</v>
      </c>
      <c r="G397" s="48">
        <v>90.83</v>
      </c>
      <c r="H397" t="s" s="49">
        <v>24</v>
      </c>
      <c r="I397" s="50" cm="1">
        <f t="array" ref="I397">IF(F397=0,"",G397/F397)</f>
        <v>1.53949152542373</v>
      </c>
      <c r="J397" t="str" s="42" cm="1">
        <f t="array" ref="J397">CHOOSE(MIN(6,INT(F397/20)+1),"0–20","20–40","40–60","60–80","80–100","100–120")</f>
        <v>40–60</v>
      </c>
      <c r="K397" t="str" s="42" cm="1">
        <f t="array" ref="K397">CHOOSE(MATCH(F397,{0;20;40;60;80;100}),"0–20","20–40","40–60","60–80","80–100","100–120")</f>
        <v>40–60</v>
      </c>
      <c r="L397" t="b" s="43" cm="1">
        <f t="array" ref="L397">ISBLANK(F397)</f>
        <v>0</v>
      </c>
    </row>
    <row r="398" ht="18.5" customHeight="1">
      <c r="A398" t="s" s="36">
        <v>441</v>
      </c>
      <c r="B398" s="37">
        <v>46019</v>
      </c>
      <c r="C398" t="s" s="38">
        <v>34</v>
      </c>
      <c r="D398" t="s" s="38">
        <v>35</v>
      </c>
      <c r="E398" t="s" s="38">
        <v>36</v>
      </c>
      <c r="F398" s="39">
        <v>38</v>
      </c>
      <c r="G398" s="40">
        <v>70.55</v>
      </c>
      <c r="H398" t="s" s="38">
        <v>19</v>
      </c>
      <c r="I398" s="41" cm="1">
        <f t="array" ref="I398">IF(F398=0,"",G398/F398)</f>
        <v>1.85657894736842</v>
      </c>
      <c r="J398" t="str" s="42" cm="1">
        <f t="array" ref="J398">CHOOSE(MIN(6,INT(F398/20)+1),"0–20","20–40","40–60","60–80","80–100","100–120")</f>
        <v>20–40</v>
      </c>
      <c r="K398" t="str" s="42" cm="1">
        <f t="array" ref="K398">CHOOSE(MATCH(F398,{0;20;40;60;80;100}),"0–20","20–40","40–60","60–80","80–100","100–120")</f>
        <v>20–40</v>
      </c>
      <c r="L398" t="b" s="43" cm="1">
        <f t="array" ref="L398">ISBLANK(F398)</f>
        <v>0</v>
      </c>
    </row>
    <row r="399" ht="18.5" customHeight="1">
      <c r="A399" t="s" s="44">
        <v>442</v>
      </c>
      <c r="B399" s="45">
        <v>46020</v>
      </c>
      <c r="C399" t="s" s="46">
        <v>30</v>
      </c>
      <c r="D399" t="s" s="46">
        <v>31</v>
      </c>
      <c r="E399" t="s" s="46">
        <v>32</v>
      </c>
      <c r="F399" s="47">
        <v>47</v>
      </c>
      <c r="G399" s="48">
        <v>55.95</v>
      </c>
      <c r="H399" t="s" s="49">
        <v>24</v>
      </c>
      <c r="I399" s="50" cm="1">
        <f t="array" ref="I399">IF(F399=0,"",G399/F399)</f>
        <v>1.19042553191489</v>
      </c>
      <c r="J399" t="str" s="42" cm="1">
        <f t="array" ref="J399">CHOOSE(MIN(6,INT(F399/20)+1),"0–20","20–40","40–60","60–80","80–100","100–120")</f>
        <v>40–60</v>
      </c>
      <c r="K399" t="str" s="42" cm="1">
        <f t="array" ref="K399">CHOOSE(MATCH(F399,{0;20;40;60;80;100}),"0–20","20–40","40–60","60–80","80–100","100–120")</f>
        <v>40–60</v>
      </c>
      <c r="L399" t="b" s="43" cm="1">
        <f t="array" ref="L399">ISBLANK(F399)</f>
        <v>0</v>
      </c>
    </row>
    <row r="400" ht="18.5" customHeight="1">
      <c r="A400" t="s" s="36">
        <v>443</v>
      </c>
      <c r="B400" s="37">
        <v>46022</v>
      </c>
      <c r="C400" t="s" s="38">
        <v>30</v>
      </c>
      <c r="D400" t="s" s="38">
        <v>42</v>
      </c>
      <c r="E400" t="s" s="38">
        <v>32</v>
      </c>
      <c r="F400" s="39">
        <v>25</v>
      </c>
      <c r="G400" s="40">
        <v>29.21</v>
      </c>
      <c r="H400" t="s" s="38">
        <v>19</v>
      </c>
      <c r="I400" s="41" cm="1">
        <f t="array" ref="I400">IF(F400=0,"",G400/F400)</f>
        <v>1.1684</v>
      </c>
      <c r="J400" t="str" s="42" cm="1">
        <f t="array" ref="J400">CHOOSE(MIN(6,INT(F400/20)+1),"0–20","20–40","40–60","60–80","80–100","100–120")</f>
        <v>20–40</v>
      </c>
      <c r="K400" t="str" s="42" cm="1">
        <f t="array" ref="K400">CHOOSE(MATCH(F400,{0;20;40;60;80;100}),"0–20","20–40","40–60","60–80","80–100","100–120")</f>
        <v>20–40</v>
      </c>
      <c r="L400" t="b" s="43" cm="1">
        <f t="array" ref="L400">ISBLANK(F400)</f>
        <v>0</v>
      </c>
    </row>
    <row r="401" ht="9" customHeight="1" hidden="1">
      <c r="A401" t="s" s="51">
        <v>454</v>
      </c>
      <c r="B401" s="52"/>
      <c r="C401" s="52"/>
      <c r="D401" s="52"/>
      <c r="E401" s="52"/>
      <c r="F401" s="52"/>
      <c r="G401" s="52"/>
      <c r="H401" s="52"/>
      <c r="I401" s="52"/>
      <c r="J401" s="53"/>
      <c r="K401" s="53"/>
      <c r="L401" s="53"/>
    </row>
    <row r="402" ht="9" customHeight="1" hidden="1">
      <c r="A402" t="s" s="46">
        <v>455</v>
      </c>
      <c r="B402" s="52"/>
      <c r="C402" s="52"/>
      <c r="D402" s="52"/>
      <c r="E402" s="52"/>
      <c r="F402" s="52"/>
      <c r="G402" s="52"/>
      <c r="H402" s="52"/>
      <c r="I402" s="52"/>
      <c r="J402" s="53"/>
      <c r="K402" s="53"/>
      <c r="L402" s="53"/>
    </row>
    <row r="403" ht="9" customHeight="1" hidden="1">
      <c r="A403" s="52"/>
      <c r="B403" s="52"/>
      <c r="C403" s="52"/>
      <c r="D403" s="52"/>
      <c r="E403" s="52"/>
      <c r="F403" s="52"/>
      <c r="G403" s="52"/>
      <c r="H403" s="52"/>
      <c r="I403" s="52"/>
      <c r="J403" s="53"/>
      <c r="K403" s="53"/>
      <c r="L403" s="53"/>
    </row>
    <row r="404" ht="9" customHeight="1" hidden="1">
      <c r="A404" t="s" s="51">
        <v>456</v>
      </c>
      <c r="B404" s="52"/>
      <c r="C404" s="52"/>
      <c r="D404" s="52"/>
      <c r="E404" s="52"/>
      <c r="F404" s="52"/>
      <c r="G404" s="52"/>
      <c r="H404" s="52"/>
      <c r="I404" s="52"/>
      <c r="J404" s="53"/>
      <c r="K404" s="53"/>
      <c r="L404" s="53"/>
    </row>
    <row r="405" ht="9" customHeight="1" hidden="1">
      <c r="A405" s="52"/>
      <c r="B405" s="52"/>
      <c r="C405" s="52"/>
      <c r="D405" s="52"/>
      <c r="E405" s="52"/>
      <c r="F405" s="52"/>
      <c r="G405" s="52"/>
      <c r="H405" s="52"/>
      <c r="I405" s="52"/>
      <c r="J405" s="53"/>
      <c r="K405" s="53"/>
      <c r="L405" s="53"/>
    </row>
    <row r="406" ht="9" customHeight="1" hidden="1">
      <c r="A406" t="s" s="51">
        <v>457</v>
      </c>
      <c r="B406" s="52"/>
      <c r="C406" s="52"/>
      <c r="D406" s="52"/>
      <c r="E406" s="52"/>
      <c r="F406" s="52"/>
      <c r="G406" s="52"/>
      <c r="H406" s="52"/>
      <c r="I406" s="52"/>
      <c r="J406" s="53"/>
      <c r="K406" s="53"/>
      <c r="L406" s="53"/>
    </row>
    <row r="407" ht="9" customHeight="1" hidden="1">
      <c r="A407" s="52"/>
      <c r="B407" s="52"/>
      <c r="C407" s="52"/>
      <c r="D407" s="52"/>
      <c r="E407" s="52"/>
      <c r="F407" s="52"/>
      <c r="G407" s="52"/>
      <c r="H407" s="52"/>
      <c r="I407" s="52"/>
      <c r="J407" s="53"/>
      <c r="K407" s="53"/>
      <c r="L407" s="53"/>
    </row>
    <row r="408" ht="9" customHeight="1" hidden="1">
      <c r="A408" t="s" s="51">
        <v>458</v>
      </c>
      <c r="B408" s="52"/>
      <c r="C408" s="52"/>
      <c r="D408" s="52"/>
      <c r="E408" s="52"/>
      <c r="F408" s="52"/>
      <c r="G408" s="52"/>
      <c r="H408" s="52"/>
      <c r="I408" s="52"/>
      <c r="J408" s="53"/>
      <c r="K408" s="53"/>
      <c r="L408" s="53"/>
    </row>
    <row r="409" ht="9" customHeight="1" hidden="1">
      <c r="A409" s="52"/>
      <c r="B409" s="52"/>
      <c r="C409" s="52"/>
      <c r="D409" s="52"/>
      <c r="E409" s="52"/>
      <c r="F409" s="52"/>
      <c r="G409" s="52"/>
      <c r="H409" s="52"/>
      <c r="I409" s="52"/>
      <c r="J409" s="53"/>
      <c r="K409" s="53"/>
      <c r="L409" s="53"/>
    </row>
    <row r="410" ht="9" customHeight="1" hidden="1">
      <c r="A410" s="52"/>
      <c r="B410" s="52"/>
      <c r="C410" s="52"/>
      <c r="D410" s="52"/>
      <c r="E410" s="52"/>
      <c r="F410" s="52"/>
      <c r="G410" s="52"/>
      <c r="H410" s="52"/>
      <c r="I410" s="52"/>
      <c r="J410" s="53"/>
      <c r="K410" s="53"/>
      <c r="L410" s="53"/>
    </row>
    <row r="411" ht="9" customHeight="1" hidden="1">
      <c r="A411" s="52"/>
      <c r="B411" s="52"/>
      <c r="C411" s="52"/>
      <c r="D411" s="52"/>
      <c r="E411" s="52"/>
      <c r="F411" s="52"/>
      <c r="G411" s="52"/>
      <c r="H411" s="52"/>
      <c r="I411" s="52"/>
      <c r="J411" s="53"/>
      <c r="K411" s="53"/>
      <c r="L411" s="53"/>
    </row>
    <row r="412" ht="9" customHeight="1" hidden="1">
      <c r="A412" s="52"/>
      <c r="B412" s="52"/>
      <c r="C412" s="52"/>
      <c r="D412" s="52"/>
      <c r="E412" s="52"/>
      <c r="F412" s="52"/>
      <c r="G412" s="52"/>
      <c r="H412" s="52"/>
      <c r="I412" s="52"/>
      <c r="J412" s="53"/>
      <c r="K412" s="53"/>
      <c r="L412" s="53"/>
    </row>
    <row r="413" ht="13.55" customHeight="1">
      <c r="A413" s="54"/>
      <c r="B413" s="55"/>
      <c r="C413" s="55"/>
      <c r="D413" s="55"/>
      <c r="E413" s="55"/>
      <c r="F413" s="55"/>
      <c r="G413" s="55"/>
      <c r="H413" s="55"/>
      <c r="I413" s="55"/>
      <c r="J413" s="56"/>
      <c r="K413" s="56"/>
      <c r="L413" s="57"/>
    </row>
  </sheetData>
  <dataValidations count="6">
    <dataValidation type="list" allowBlank="1" showInputMessage="1" showErrorMessage="1" sqref="C1">
      <formula1>"Abteilung"</formula1>
    </dataValidation>
    <dataValidation type="list" allowBlank="1" showInputMessage="1" showErrorMessage="1" sqref="D1">
      <formula1>"Bearbeiter"</formula1>
    </dataValidation>
    <dataValidation type="list" allowBlank="1" showInputMessage="1" showErrorMessage="1" sqref="E1">
      <formula1>"Vorgangstyp"</formula1>
    </dataValidation>
    <dataValidation type="list" allowBlank="1" showInputMessage="1" showErrorMessage="1" sqref="F1">
      <formula1>"Bearbeitungsdauer_Min"</formula1>
    </dataValidation>
    <dataValidation type="list" allowBlank="1" showInputMessage="1" showErrorMessage="1" sqref="H1">
      <formula1>"SLA_Status"</formula1>
    </dataValidation>
    <dataValidation type="list" allowBlank="1" showInputMessage="1" showErrorMessage="1" sqref="J1">
      <formula1>"Bearbeitungsdauer pro Interval1"</formula1>
    </dataValidation>
  </dataValidation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8"/>
  <sheetViews>
    <sheetView workbookViewId="0" showGridLines="0" defaultGridColor="1"/>
  </sheetViews>
  <sheetFormatPr defaultColWidth="13.3333" defaultRowHeight="17.4" customHeight="1" outlineLevelRow="0" outlineLevelCol="0"/>
  <cols>
    <col min="1" max="4" width="13.3516" style="58" customWidth="1"/>
    <col min="5" max="16384" width="13.3516" style="58" customWidth="1"/>
  </cols>
  <sheetData>
    <row r="1" ht="12.35" customHeight="1">
      <c r="A1" t="s" s="59">
        <v>460</v>
      </c>
      <c r="B1" s="59"/>
      <c r="C1" s="59"/>
      <c r="D1" s="59"/>
    </row>
    <row r="2" ht="15.3" customHeight="1"/>
    <row r="3" ht="15.3" customHeight="1">
      <c r="A3" t="s" s="60">
        <v>8</v>
      </c>
      <c r="B3" t="s" s="61">
        <v>461</v>
      </c>
      <c r="C3" t="s" s="62">
        <v>462</v>
      </c>
      <c r="D3" t="s" s="62">
        <v>463</v>
      </c>
    </row>
    <row r="4" ht="15.3" customHeight="1">
      <c r="A4" t="s" s="63">
        <v>16</v>
      </c>
      <c r="B4" s="64">
        <v>2804.66</v>
      </c>
      <c r="C4" s="65">
        <v>61</v>
      </c>
      <c r="D4" s="65">
        <v>28.1967213114754</v>
      </c>
    </row>
    <row r="5" ht="15.05" customHeight="1">
      <c r="A5" t="s" s="66">
        <v>34</v>
      </c>
      <c r="B5" s="67">
        <v>4161.05</v>
      </c>
      <c r="C5" s="68">
        <v>49</v>
      </c>
      <c r="D5" s="68">
        <v>46.3061224489796</v>
      </c>
    </row>
    <row r="6" ht="15.05" customHeight="1">
      <c r="A6" t="s" s="66">
        <v>21</v>
      </c>
      <c r="B6" s="67">
        <v>1840.06</v>
      </c>
      <c r="C6" s="68">
        <v>77</v>
      </c>
      <c r="D6" s="68">
        <v>21.2207792207792</v>
      </c>
    </row>
    <row r="7" ht="15.05" customHeight="1">
      <c r="A7" t="s" s="66">
        <v>30</v>
      </c>
      <c r="B7" s="67">
        <v>2698.17</v>
      </c>
      <c r="C7" s="68">
        <v>84</v>
      </c>
      <c r="D7" s="68">
        <v>26.1071428571429</v>
      </c>
    </row>
    <row r="8" ht="15.3" customHeight="1">
      <c r="A8" t="s" s="69">
        <v>26</v>
      </c>
      <c r="B8" s="70">
        <v>6767.57</v>
      </c>
      <c r="C8" s="71">
        <v>128</v>
      </c>
      <c r="D8" s="71">
        <v>34.640625</v>
      </c>
    </row>
    <row r="9" ht="15.3" customHeight="1">
      <c r="A9" t="s" s="72">
        <v>464</v>
      </c>
      <c r="B9" s="73">
        <v>18271.51</v>
      </c>
      <c r="C9" s="74">
        <v>399</v>
      </c>
      <c r="D9" s="74">
        <v>30.7017543859649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5"/>
  <sheetViews>
    <sheetView workbookViewId="0" showGridLines="0" defaultGridColor="1"/>
  </sheetViews>
  <sheetFormatPr defaultColWidth="13.3333" defaultRowHeight="17.4" customHeight="1" outlineLevelRow="0" outlineLevelCol="0"/>
  <cols>
    <col min="1" max="2" width="13.3516" style="75" customWidth="1"/>
    <col min="3" max="16384" width="13.3516" style="75" customWidth="1"/>
  </cols>
  <sheetData>
    <row r="1" ht="12.35" customHeight="1">
      <c r="A1" t="s" s="59">
        <v>460</v>
      </c>
      <c r="B1" s="59"/>
    </row>
    <row r="2" ht="15.3" customHeight="1">
      <c r="A2" t="s" s="60">
        <v>467</v>
      </c>
      <c r="B2" t="s" s="61">
        <v>462</v>
      </c>
    </row>
    <row r="3" ht="15.3" customHeight="1">
      <c r="A3" s="76">
        <v>43831</v>
      </c>
      <c r="B3" s="77">
        <v>33</v>
      </c>
    </row>
    <row r="4" ht="15.05" customHeight="1">
      <c r="A4" s="78">
        <v>43862</v>
      </c>
      <c r="B4" s="79">
        <v>29</v>
      </c>
    </row>
    <row r="5" ht="15.05" customHeight="1">
      <c r="A5" s="78">
        <v>43891</v>
      </c>
      <c r="B5" s="79">
        <v>32</v>
      </c>
    </row>
    <row r="6" ht="15.05" customHeight="1">
      <c r="A6" s="78">
        <v>43922</v>
      </c>
      <c r="B6" s="79">
        <v>22</v>
      </c>
    </row>
    <row r="7" ht="15.05" customHeight="1">
      <c r="A7" s="78">
        <v>43952</v>
      </c>
      <c r="B7" s="79">
        <v>37</v>
      </c>
    </row>
    <row r="8" ht="15.05" customHeight="1">
      <c r="A8" s="78">
        <v>43983</v>
      </c>
      <c r="B8" s="79">
        <v>37</v>
      </c>
    </row>
    <row r="9" ht="15.05" customHeight="1">
      <c r="A9" s="78">
        <v>44013</v>
      </c>
      <c r="B9" s="79">
        <v>39</v>
      </c>
    </row>
    <row r="10" ht="15.05" customHeight="1">
      <c r="A10" s="78">
        <v>44044</v>
      </c>
      <c r="B10" s="79">
        <v>17</v>
      </c>
    </row>
    <row r="11" ht="15.05" customHeight="1">
      <c r="A11" s="78">
        <v>44075</v>
      </c>
      <c r="B11" s="79">
        <v>30</v>
      </c>
    </row>
    <row r="12" ht="15.05" customHeight="1">
      <c r="A12" s="78">
        <v>44105</v>
      </c>
      <c r="B12" s="79">
        <v>45</v>
      </c>
    </row>
    <row r="13" ht="15.05" customHeight="1">
      <c r="A13" s="78">
        <v>44136</v>
      </c>
      <c r="B13" s="79">
        <v>44</v>
      </c>
    </row>
    <row r="14" ht="15.3" customHeight="1">
      <c r="A14" s="80">
        <v>44166</v>
      </c>
      <c r="B14" s="81">
        <v>34</v>
      </c>
    </row>
    <row r="15" ht="15.3" customHeight="1">
      <c r="A15" t="s" s="72">
        <v>464</v>
      </c>
      <c r="B15" s="82">
        <v>399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3"/>
  <sheetViews>
    <sheetView workbookViewId="0" showGridLines="0" defaultGridColor="1"/>
  </sheetViews>
  <sheetFormatPr defaultColWidth="13.3333" defaultRowHeight="15.4" customHeight="1" outlineLevelRow="0" outlineLevelCol="0"/>
  <cols>
    <col min="1" max="2" width="51.6719" style="83" customWidth="1"/>
    <col min="3" max="16384" width="13.3516" style="83" customWidth="1"/>
  </cols>
  <sheetData>
    <row r="1" ht="22.95" customHeight="1">
      <c r="A1" s="84"/>
      <c r="B1" s="85"/>
    </row>
    <row r="2" ht="23.7" customHeight="1">
      <c r="A2" s="86"/>
      <c r="B2" s="87"/>
    </row>
    <row r="3" ht="23.7" customHeight="1">
      <c r="A3" s="86"/>
      <c r="B3" s="87"/>
    </row>
    <row r="4" ht="23.7" customHeight="1">
      <c r="A4" s="86"/>
      <c r="B4" s="87"/>
    </row>
    <row r="5" ht="23.7" customHeight="1">
      <c r="A5" s="86"/>
      <c r="B5" s="87"/>
    </row>
    <row r="6" ht="23.7" customHeight="1">
      <c r="A6" s="86"/>
      <c r="B6" s="87"/>
    </row>
    <row r="7" ht="23.7" customHeight="1">
      <c r="A7" s="86"/>
      <c r="B7" s="87"/>
    </row>
    <row r="8" ht="23.7" customHeight="1">
      <c r="A8" s="86"/>
      <c r="B8" s="87"/>
    </row>
    <row r="9" ht="23.7" customHeight="1">
      <c r="A9" s="86"/>
      <c r="B9" s="87"/>
    </row>
    <row r="10" ht="23.7" customHeight="1">
      <c r="A10" s="86"/>
      <c r="B10" s="87"/>
    </row>
    <row r="11" ht="23.7" customHeight="1">
      <c r="A11" s="86"/>
      <c r="B11" s="87"/>
    </row>
    <row r="12" ht="23.7" customHeight="1">
      <c r="A12" s="86"/>
      <c r="B12" s="87"/>
    </row>
    <row r="13" ht="23.7" customHeight="1">
      <c r="A13" s="88"/>
      <c r="B13" s="8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9"/>
  <sheetViews>
    <sheetView workbookViewId="0" showGridLines="0" defaultGridColor="1"/>
  </sheetViews>
  <sheetFormatPr defaultColWidth="13.3333" defaultRowHeight="17.4" customHeight="1" outlineLevelRow="0" outlineLevelCol="0"/>
  <cols>
    <col min="1" max="2" width="13.3516" style="90" customWidth="1"/>
    <col min="3" max="16384" width="13.3516" style="90" customWidth="1"/>
  </cols>
  <sheetData>
    <row r="1" ht="12.35" customHeight="1">
      <c r="A1" t="s" s="59">
        <v>472</v>
      </c>
      <c r="B1" s="59"/>
    </row>
    <row r="2" ht="15.3" customHeight="1">
      <c r="A2" t="s" s="60">
        <v>446</v>
      </c>
      <c r="B2" t="s" s="61">
        <v>462</v>
      </c>
    </row>
    <row r="3" ht="15.3" customHeight="1">
      <c r="A3" t="s" s="63">
        <v>451</v>
      </c>
      <c r="B3" s="77">
        <v>85</v>
      </c>
    </row>
    <row r="4" ht="15.05" customHeight="1">
      <c r="A4" t="s" s="66">
        <v>449</v>
      </c>
      <c r="B4" s="79">
        <v>228</v>
      </c>
    </row>
    <row r="5" ht="15.05" customHeight="1">
      <c r="A5" t="s" s="66">
        <v>450</v>
      </c>
      <c r="B5" s="79">
        <v>64</v>
      </c>
    </row>
    <row r="6" ht="15.05" customHeight="1">
      <c r="A6" t="s" s="66">
        <v>453</v>
      </c>
      <c r="B6" s="79">
        <v>19</v>
      </c>
    </row>
    <row r="7" ht="15.05" customHeight="1">
      <c r="A7" t="s" s="66">
        <v>452</v>
      </c>
      <c r="B7" s="79">
        <v>3</v>
      </c>
    </row>
    <row r="8" ht="15.3" customHeight="1">
      <c r="A8" t="s" s="69">
        <v>474</v>
      </c>
      <c r="B8" s="81">
        <v>5</v>
      </c>
    </row>
    <row r="9" ht="15.3" customHeight="1">
      <c r="A9" t="s" s="72">
        <v>464</v>
      </c>
      <c r="B9" s="82">
        <v>404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9"/>
  <sheetViews>
    <sheetView workbookViewId="0" showGridLines="0" defaultGridColor="1"/>
  </sheetViews>
  <sheetFormatPr defaultColWidth="13.3333" defaultRowHeight="15.4" customHeight="1" outlineLevelRow="0" outlineLevelCol="0"/>
  <cols>
    <col min="1" max="2" width="46.6719" style="91" customWidth="1"/>
    <col min="3" max="16384" width="13.3516" style="91" customWidth="1"/>
  </cols>
  <sheetData>
    <row r="1" ht="8" customHeight="1" hidden="1">
      <c r="A1" s="92"/>
      <c r="B1" s="57"/>
    </row>
    <row r="2" ht="15.55" customHeight="1">
      <c r="A2" t="s" s="93">
        <v>472</v>
      </c>
      <c r="B2" s="94"/>
    </row>
    <row r="3" ht="34.05" customHeight="1">
      <c r="A3" s="84"/>
      <c r="B3" s="85"/>
    </row>
    <row r="4" ht="34.05" customHeight="1">
      <c r="A4" s="86"/>
      <c r="B4" s="87"/>
    </row>
    <row r="5" ht="34.05" customHeight="1">
      <c r="A5" s="86"/>
      <c r="B5" s="87"/>
    </row>
    <row r="6" ht="34.05" customHeight="1">
      <c r="A6" s="86"/>
      <c r="B6" s="87"/>
    </row>
    <row r="7" ht="34.05" customHeight="1">
      <c r="A7" s="86"/>
      <c r="B7" s="87"/>
    </row>
    <row r="8" ht="34.05" customHeight="1">
      <c r="A8" s="86"/>
      <c r="B8" s="87"/>
    </row>
    <row r="9" ht="34.05" customHeight="1">
      <c r="A9" s="88"/>
      <c r="B9" s="89"/>
    </row>
  </sheetData>
  <mergeCells count="1">
    <mergeCell ref="A2:B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9"/>
  <sheetViews>
    <sheetView workbookViewId="0" showGridLines="0" defaultGridColor="1"/>
  </sheetViews>
  <sheetFormatPr defaultColWidth="13.3333" defaultRowHeight="17.4" customHeight="1" outlineLevelRow="0" outlineLevelCol="0"/>
  <cols>
    <col min="1" max="3" width="13.3516" style="95" customWidth="1"/>
    <col min="4" max="16384" width="13.3516" style="95" customWidth="1"/>
  </cols>
  <sheetData>
    <row r="1" ht="12.35" customHeight="1">
      <c r="A1" t="s" s="59">
        <v>472</v>
      </c>
      <c r="B1" s="59"/>
      <c r="C1" s="59"/>
    </row>
    <row r="2" ht="15.3" customHeight="1"/>
    <row r="3" ht="15.3" customHeight="1">
      <c r="A3" t="s" s="60">
        <v>8</v>
      </c>
      <c r="B3" t="s" s="61">
        <v>461</v>
      </c>
      <c r="C3" t="s" s="62">
        <v>478</v>
      </c>
    </row>
    <row r="4" ht="15.3" customHeight="1">
      <c r="A4" t="s" s="63">
        <v>16</v>
      </c>
      <c r="B4" s="64">
        <v>2804.66</v>
      </c>
      <c r="C4" s="65">
        <v>1720</v>
      </c>
    </row>
    <row r="5" ht="15.05" customHeight="1">
      <c r="A5" t="s" s="66">
        <v>34</v>
      </c>
      <c r="B5" s="67">
        <v>4161.05</v>
      </c>
      <c r="C5" s="68">
        <v>2269</v>
      </c>
    </row>
    <row r="6" ht="15.05" customHeight="1">
      <c r="A6" t="s" s="66">
        <v>21</v>
      </c>
      <c r="B6" s="67">
        <v>1840.06</v>
      </c>
      <c r="C6" s="68">
        <v>1634</v>
      </c>
    </row>
    <row r="7" ht="15.05" customHeight="1">
      <c r="A7" t="s" s="66">
        <v>30</v>
      </c>
      <c r="B7" s="67">
        <v>2698.17</v>
      </c>
      <c r="C7" s="68">
        <v>2193</v>
      </c>
    </row>
    <row r="8" ht="15.05" customHeight="1">
      <c r="A8" t="s" s="66">
        <v>26</v>
      </c>
      <c r="B8" s="67">
        <v>6767.57</v>
      </c>
      <c r="C8" s="68">
        <v>4434</v>
      </c>
    </row>
    <row r="9" ht="15.3" customHeight="1">
      <c r="A9" t="s" s="69">
        <v>474</v>
      </c>
      <c r="B9" s="81">
        <v>0</v>
      </c>
      <c r="C9" s="71">
        <v>0</v>
      </c>
    </row>
    <row r="10" ht="15.3" customHeight="1">
      <c r="A10" t="s" s="72">
        <v>464</v>
      </c>
      <c r="B10" s="73">
        <v>18271.51</v>
      </c>
      <c r="C10" s="74">
        <v>12250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9"/>
  <sheetViews>
    <sheetView workbookViewId="0" showGridLines="0" defaultGridColor="1"/>
  </sheetViews>
  <sheetFormatPr defaultColWidth="13.3333" defaultRowHeight="15.4" customHeight="1" outlineLevelRow="0" outlineLevelCol="0"/>
  <cols>
    <col min="1" max="1" width="54.8516" style="96" customWidth="1"/>
    <col min="2" max="2" width="25.6719" style="96" customWidth="1"/>
    <col min="3" max="3" width="38.1719" style="96" customWidth="1"/>
    <col min="4" max="16384" width="13.3516" style="96" customWidth="1"/>
  </cols>
  <sheetData>
    <row r="1" ht="15.55" customHeight="1">
      <c r="A1" t="s" s="93">
        <v>472</v>
      </c>
      <c r="B1" s="97"/>
      <c r="C1" s="94"/>
    </row>
    <row r="2" ht="25.3" customHeight="1">
      <c r="A2" s="84"/>
      <c r="B2" s="98"/>
      <c r="C2" s="85"/>
    </row>
    <row r="3" ht="25.3" customHeight="1">
      <c r="A3" s="86"/>
      <c r="B3" s="99"/>
      <c r="C3" s="87"/>
    </row>
    <row r="4" ht="25.3" customHeight="1">
      <c r="A4" s="86"/>
      <c r="B4" s="99"/>
      <c r="C4" s="87"/>
    </row>
    <row r="5" ht="25.3" customHeight="1">
      <c r="A5" s="86"/>
      <c r="B5" s="99"/>
      <c r="C5" s="87"/>
    </row>
    <row r="6" ht="25.3" customHeight="1">
      <c r="A6" s="86"/>
      <c r="B6" s="99"/>
      <c r="C6" s="87"/>
    </row>
    <row r="7" ht="25.3" customHeight="1">
      <c r="A7" s="86"/>
      <c r="B7" s="99"/>
      <c r="C7" s="87"/>
    </row>
    <row r="8" ht="25.3" customHeight="1">
      <c r="A8" s="86"/>
      <c r="B8" s="99"/>
      <c r="C8" s="87"/>
    </row>
    <row r="9" ht="25.3" customHeight="1">
      <c r="A9" s="88"/>
      <c r="B9" s="100"/>
      <c r="C9" s="89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101" customWidth="1"/>
    <col min="2" max="2" width="17.1719" style="101" customWidth="1"/>
    <col min="3" max="3" width="18.1719" style="101" customWidth="1"/>
    <col min="4" max="4" width="21.5" style="101" customWidth="1"/>
    <col min="5" max="5" width="16.3516" style="101" customWidth="1"/>
    <col min="6" max="16384" width="16.3516" style="101" customWidth="1"/>
  </cols>
  <sheetData>
    <row r="1" ht="15.55" customHeight="1">
      <c r="A1" t="s" s="102">
        <v>5</v>
      </c>
      <c r="B1" s="103"/>
      <c r="C1" s="103"/>
      <c r="D1" s="103"/>
      <c r="E1" s="104"/>
    </row>
    <row r="2" ht="18.05" customHeight="1">
      <c r="A2" t="s" s="105">
        <v>8</v>
      </c>
      <c r="B2" t="s" s="105">
        <v>481</v>
      </c>
      <c r="C2" t="s" s="105">
        <v>482</v>
      </c>
      <c r="D2" t="s" s="105">
        <v>483</v>
      </c>
      <c r="E2" s="106"/>
    </row>
    <row r="3" ht="18.05" customHeight="1">
      <c r="A3" t="s" s="107">
        <v>16</v>
      </c>
      <c r="B3" s="108">
        <v>2804.66</v>
      </c>
      <c r="C3" s="109">
        <v>1720</v>
      </c>
      <c r="D3" s="109" cm="1">
        <f t="array" ref="D3">IF(C3=0,"",B3/C3)</f>
        <v>1.63061627906977</v>
      </c>
      <c r="E3" s="110"/>
    </row>
    <row r="4" ht="17.85" customHeight="1">
      <c r="A4" t="s" s="111">
        <v>34</v>
      </c>
      <c r="B4" s="112">
        <v>4161.05</v>
      </c>
      <c r="C4" s="113">
        <v>2269</v>
      </c>
      <c r="D4" s="113" cm="1">
        <f t="array" ref="D4">IF(C4=0,"",B4/C4)</f>
        <v>1.83386954605553</v>
      </c>
      <c r="E4" s="114"/>
    </row>
    <row r="5" ht="17.85" customHeight="1">
      <c r="A5" t="s" s="111">
        <v>21</v>
      </c>
      <c r="B5" s="112">
        <v>1840.06</v>
      </c>
      <c r="C5" s="113">
        <v>1634</v>
      </c>
      <c r="D5" s="113" cm="1">
        <f t="array" ref="D5">IF(C5=0,"",B5/C5)</f>
        <v>1.12610771113831</v>
      </c>
      <c r="E5" s="114"/>
    </row>
    <row r="6" ht="17.85" customHeight="1">
      <c r="A6" t="s" s="111">
        <v>30</v>
      </c>
      <c r="B6" s="112">
        <v>2698.17</v>
      </c>
      <c r="C6" s="113">
        <v>2193</v>
      </c>
      <c r="D6" s="113" cm="1">
        <f t="array" ref="D6">IF(C6=0,"",B6/C6)</f>
        <v>1.23035567715458</v>
      </c>
      <c r="E6" s="114"/>
    </row>
    <row r="7" ht="17.85" customHeight="1">
      <c r="A7" t="s" s="111">
        <v>26</v>
      </c>
      <c r="B7" s="112">
        <v>6767.57</v>
      </c>
      <c r="C7" s="113">
        <v>4434</v>
      </c>
      <c r="D7" s="113" cm="1">
        <f t="array" ref="D7">IF(C7=0,"",B7/C7)</f>
        <v>1.5262900315742</v>
      </c>
      <c r="E7" s="114"/>
    </row>
    <row r="8" ht="17.85" customHeight="1">
      <c r="A8" t="s" s="111">
        <v>474</v>
      </c>
      <c r="B8" s="115">
        <v>0</v>
      </c>
      <c r="C8" s="113">
        <v>0</v>
      </c>
      <c r="D8" t="str" s="114" cm="1">
        <f t="array" ref="D8">IF(C8=0,"",B8/C8)</f>
      </c>
      <c r="E8" s="114"/>
    </row>
    <row r="9" ht="17.85" customHeight="1">
      <c r="A9" t="s" s="111">
        <v>484</v>
      </c>
      <c r="B9" s="112">
        <v>18271.51</v>
      </c>
      <c r="C9" s="113">
        <v>12250</v>
      </c>
      <c r="D9" s="113" cm="1">
        <f t="array" ref="D9">IF(C9=0,"",B9/C9)</f>
        <v>1.49155183673469</v>
      </c>
      <c r="E9" s="114"/>
    </row>
    <row r="10" ht="17.85" customHeight="1">
      <c r="A10" s="114"/>
      <c r="B10" s="114"/>
      <c r="C10" s="114"/>
      <c r="D10" s="114"/>
      <c r="E10" s="114"/>
    </row>
    <row r="11" ht="17.85" customHeight="1">
      <c r="A11" s="114"/>
      <c r="B11" s="114"/>
      <c r="C11" s="114"/>
      <c r="D11" s="114"/>
      <c r="E11" s="114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2"/>
  <sheetViews>
    <sheetView workbookViewId="0" showGridLines="0" defaultGridColor="1"/>
  </sheetViews>
  <sheetFormatPr defaultColWidth="10" defaultRowHeight="13" customHeight="1" outlineLevelRow="0" outlineLevelCol="0"/>
  <cols>
    <col min="1" max="11" width="10" style="116" customWidth="1"/>
    <col min="12" max="16384" width="10" style="116" customWidth="1"/>
  </cols>
  <sheetData>
    <row r="1" ht="13" customHeight="1">
      <c r="A1" s="117"/>
      <c r="B1" s="118"/>
      <c r="C1" s="118"/>
      <c r="D1" s="118"/>
      <c r="E1" s="118"/>
      <c r="F1" s="118"/>
      <c r="G1" s="118"/>
      <c r="H1" s="118"/>
      <c r="I1" s="118"/>
      <c r="J1" s="118"/>
      <c r="K1" s="119"/>
    </row>
    <row r="2" ht="13" customHeight="1">
      <c r="A2" s="120"/>
      <c r="B2" s="121"/>
      <c r="C2" s="121"/>
      <c r="D2" s="121"/>
      <c r="E2" s="121"/>
      <c r="F2" s="121"/>
      <c r="G2" s="121"/>
      <c r="H2" s="121"/>
      <c r="I2" s="121"/>
      <c r="J2" s="121"/>
      <c r="K2" s="122"/>
    </row>
    <row r="3" ht="13" customHeight="1">
      <c r="A3" s="120"/>
      <c r="B3" s="121"/>
      <c r="C3" s="121"/>
      <c r="D3" s="121"/>
      <c r="E3" s="121"/>
      <c r="F3" s="121"/>
      <c r="G3" s="121"/>
      <c r="H3" s="121"/>
      <c r="I3" s="121"/>
      <c r="J3" s="121"/>
      <c r="K3" s="122"/>
    </row>
    <row r="4" ht="13" customHeight="1">
      <c r="A4" s="120"/>
      <c r="B4" s="121"/>
      <c r="C4" s="121"/>
      <c r="D4" s="121"/>
      <c r="E4" s="121"/>
      <c r="F4" s="121"/>
      <c r="G4" s="121"/>
      <c r="H4" s="121"/>
      <c r="I4" s="121"/>
      <c r="J4" s="121"/>
      <c r="K4" s="122"/>
    </row>
    <row r="5" ht="13" customHeight="1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2"/>
    </row>
    <row r="6" ht="13" customHeight="1">
      <c r="A6" s="120"/>
      <c r="B6" s="121"/>
      <c r="C6" s="121"/>
      <c r="D6" s="121"/>
      <c r="E6" s="121"/>
      <c r="F6" s="121"/>
      <c r="G6" s="121"/>
      <c r="H6" s="121"/>
      <c r="I6" s="121"/>
      <c r="J6" s="121"/>
      <c r="K6" s="122"/>
    </row>
    <row r="7" ht="13" customHeight="1">
      <c r="A7" s="120"/>
      <c r="B7" s="121"/>
      <c r="C7" s="121"/>
      <c r="D7" s="121"/>
      <c r="E7" s="121"/>
      <c r="F7" s="121"/>
      <c r="G7" s="121"/>
      <c r="H7" s="121"/>
      <c r="I7" s="121"/>
      <c r="J7" s="121"/>
      <c r="K7" s="122"/>
    </row>
    <row r="8" ht="13" customHeight="1">
      <c r="A8" s="120"/>
      <c r="B8" s="121"/>
      <c r="C8" s="121"/>
      <c r="D8" s="121"/>
      <c r="E8" s="121"/>
      <c r="F8" s="121"/>
      <c r="G8" s="121"/>
      <c r="H8" s="121"/>
      <c r="I8" s="121"/>
      <c r="J8" s="121"/>
      <c r="K8" s="122"/>
    </row>
    <row r="9" ht="13" customHeight="1">
      <c r="A9" s="120"/>
      <c r="B9" s="121"/>
      <c r="C9" s="121"/>
      <c r="D9" s="121"/>
      <c r="E9" s="121"/>
      <c r="F9" s="121"/>
      <c r="G9" s="121"/>
      <c r="H9" s="121"/>
      <c r="I9" s="121"/>
      <c r="J9" s="121"/>
      <c r="K9" s="122"/>
    </row>
    <row r="10" ht="13" customHeight="1">
      <c r="A10" s="120"/>
      <c r="B10" s="121"/>
      <c r="C10" s="121"/>
      <c r="D10" s="121"/>
      <c r="E10" s="121"/>
      <c r="F10" s="121"/>
      <c r="G10" s="121"/>
      <c r="H10" s="121"/>
      <c r="I10" s="121"/>
      <c r="J10" s="121"/>
      <c r="K10" s="122"/>
    </row>
    <row r="11" ht="13" customHeight="1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2"/>
    </row>
    <row r="12" ht="13" customHeight="1">
      <c r="A12" s="120"/>
      <c r="B12" s="121"/>
      <c r="C12" s="121"/>
      <c r="D12" s="121"/>
      <c r="E12" s="121"/>
      <c r="F12" s="121"/>
      <c r="G12" s="121"/>
      <c r="H12" s="121"/>
      <c r="I12" s="121"/>
      <c r="J12" s="121"/>
      <c r="K12" s="122"/>
    </row>
    <row r="13" ht="13" customHeight="1">
      <c r="A13" s="120"/>
      <c r="B13" s="121"/>
      <c r="C13" s="121"/>
      <c r="D13" s="121"/>
      <c r="E13" s="121"/>
      <c r="F13" s="121"/>
      <c r="G13" s="121"/>
      <c r="H13" s="121"/>
      <c r="I13" s="121"/>
      <c r="J13" s="121"/>
      <c r="K13" s="122"/>
    </row>
    <row r="14" ht="13" customHeight="1">
      <c r="A14" s="120"/>
      <c r="B14" s="121"/>
      <c r="C14" s="121"/>
      <c r="D14" s="121"/>
      <c r="E14" s="121"/>
      <c r="F14" s="121"/>
      <c r="G14" s="121"/>
      <c r="H14" s="121"/>
      <c r="I14" s="121"/>
      <c r="J14" s="121"/>
      <c r="K14" s="122"/>
    </row>
    <row r="15" ht="13" customHeight="1">
      <c r="A15" s="120"/>
      <c r="B15" s="121"/>
      <c r="C15" s="121"/>
      <c r="D15" s="121"/>
      <c r="E15" s="121"/>
      <c r="F15" s="121"/>
      <c r="G15" s="121"/>
      <c r="H15" s="121"/>
      <c r="I15" s="121"/>
      <c r="J15" s="121"/>
      <c r="K15" s="122"/>
    </row>
    <row r="16" ht="13" customHeight="1">
      <c r="A16" s="120"/>
      <c r="B16" s="121"/>
      <c r="C16" s="121"/>
      <c r="D16" s="121"/>
      <c r="E16" s="121"/>
      <c r="F16" s="121"/>
      <c r="G16" s="121"/>
      <c r="H16" s="121"/>
      <c r="I16" s="121"/>
      <c r="J16" s="121"/>
      <c r="K16" s="122"/>
    </row>
    <row r="17" ht="13" customHeight="1">
      <c r="A17" s="120"/>
      <c r="B17" s="121"/>
      <c r="C17" s="121"/>
      <c r="D17" s="121"/>
      <c r="E17" s="121"/>
      <c r="F17" s="121"/>
      <c r="G17" s="121"/>
      <c r="H17" s="121"/>
      <c r="I17" s="121"/>
      <c r="J17" s="121"/>
      <c r="K17" s="122"/>
    </row>
    <row r="18" ht="13" customHeight="1">
      <c r="A18" s="120"/>
      <c r="B18" s="121"/>
      <c r="C18" s="121"/>
      <c r="D18" s="121"/>
      <c r="E18" s="121"/>
      <c r="F18" s="121"/>
      <c r="G18" s="121"/>
      <c r="H18" s="121"/>
      <c r="I18" s="121"/>
      <c r="J18" s="121"/>
      <c r="K18" s="122"/>
    </row>
    <row r="19" ht="13" customHeight="1">
      <c r="A19" s="120"/>
      <c r="B19" s="121"/>
      <c r="C19" s="121"/>
      <c r="D19" s="121"/>
      <c r="E19" s="121"/>
      <c r="F19" s="121"/>
      <c r="G19" s="121"/>
      <c r="H19" s="121"/>
      <c r="I19" s="121"/>
      <c r="J19" s="121"/>
      <c r="K19" s="122"/>
    </row>
    <row r="20" ht="13" customHeight="1">
      <c r="A20" s="120"/>
      <c r="B20" s="121"/>
      <c r="C20" s="121"/>
      <c r="D20" s="121"/>
      <c r="E20" s="121"/>
      <c r="F20" s="121"/>
      <c r="G20" s="121"/>
      <c r="H20" s="121"/>
      <c r="I20" s="121"/>
      <c r="J20" s="121"/>
      <c r="K20" s="122"/>
    </row>
    <row r="21" ht="13" customHeight="1">
      <c r="A21" s="120"/>
      <c r="B21" s="121"/>
      <c r="C21" s="121"/>
      <c r="D21" s="121"/>
      <c r="E21" s="121"/>
      <c r="F21" s="121"/>
      <c r="G21" s="121"/>
      <c r="H21" s="121"/>
      <c r="I21" s="121"/>
      <c r="J21" s="121"/>
      <c r="K21" s="122"/>
    </row>
    <row r="22" ht="13" customHeight="1">
      <c r="A22" s="120"/>
      <c r="B22" s="121"/>
      <c r="C22" s="121"/>
      <c r="D22" s="121"/>
      <c r="E22" s="121"/>
      <c r="F22" s="121"/>
      <c r="G22" s="121"/>
      <c r="H22" s="121"/>
      <c r="I22" s="121"/>
      <c r="J22" s="121"/>
      <c r="K22" s="122"/>
    </row>
    <row r="23" ht="13" customHeight="1">
      <c r="A23" s="120"/>
      <c r="B23" s="121"/>
      <c r="C23" s="121"/>
      <c r="D23" s="121"/>
      <c r="E23" s="121"/>
      <c r="F23" s="121"/>
      <c r="G23" s="121"/>
      <c r="H23" s="121"/>
      <c r="I23" s="121"/>
      <c r="J23" s="121"/>
      <c r="K23" s="122"/>
    </row>
    <row r="24" ht="13" customHeight="1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22"/>
    </row>
    <row r="25" ht="13" customHeight="1">
      <c r="A25" s="120"/>
      <c r="B25" s="121"/>
      <c r="C25" s="121"/>
      <c r="D25" s="121"/>
      <c r="E25" s="121"/>
      <c r="F25" s="121"/>
      <c r="G25" s="121"/>
      <c r="H25" s="121"/>
      <c r="I25" s="121"/>
      <c r="J25" s="121"/>
      <c r="K25" s="122"/>
    </row>
    <row r="26" ht="13" customHeight="1">
      <c r="A26" s="120"/>
      <c r="B26" s="121"/>
      <c r="C26" s="121"/>
      <c r="D26" s="121"/>
      <c r="E26" s="121"/>
      <c r="F26" s="121"/>
      <c r="G26" s="121"/>
      <c r="H26" s="121"/>
      <c r="I26" s="121"/>
      <c r="J26" s="121"/>
      <c r="K26" s="122"/>
    </row>
    <row r="27" ht="13" customHeight="1">
      <c r="A27" s="120"/>
      <c r="B27" s="121"/>
      <c r="C27" s="121"/>
      <c r="D27" s="121"/>
      <c r="E27" s="121"/>
      <c r="F27" s="121"/>
      <c r="G27" s="121"/>
      <c r="H27" s="121"/>
      <c r="I27" s="121"/>
      <c r="J27" s="121"/>
      <c r="K27" s="122"/>
    </row>
    <row r="28" ht="13" customHeight="1">
      <c r="A28" s="120"/>
      <c r="B28" s="121"/>
      <c r="C28" s="121"/>
      <c r="D28" s="121"/>
      <c r="E28" s="121"/>
      <c r="F28" s="121"/>
      <c r="G28" s="121"/>
      <c r="H28" s="121"/>
      <c r="I28" s="121"/>
      <c r="J28" s="121"/>
      <c r="K28" s="122"/>
    </row>
    <row r="29" ht="13" customHeight="1">
      <c r="A29" s="120"/>
      <c r="B29" s="121"/>
      <c r="C29" s="121"/>
      <c r="D29" s="121"/>
      <c r="E29" s="121"/>
      <c r="F29" s="121"/>
      <c r="G29" s="121"/>
      <c r="H29" s="121"/>
      <c r="I29" s="121"/>
      <c r="J29" s="121"/>
      <c r="K29" s="122"/>
    </row>
    <row r="30" ht="13" customHeight="1">
      <c r="A30" s="120"/>
      <c r="B30" s="121"/>
      <c r="C30" s="121"/>
      <c r="D30" s="121"/>
      <c r="E30" s="121"/>
      <c r="F30" s="121"/>
      <c r="G30" s="121"/>
      <c r="H30" s="121"/>
      <c r="I30" s="121"/>
      <c r="J30" s="121"/>
      <c r="K30" s="122"/>
    </row>
    <row r="31" ht="13" customHeight="1">
      <c r="A31" s="120"/>
      <c r="B31" s="121"/>
      <c r="C31" s="121"/>
      <c r="D31" s="121"/>
      <c r="E31" s="121"/>
      <c r="F31" s="121"/>
      <c r="G31" s="121"/>
      <c r="H31" s="121"/>
      <c r="I31" s="121"/>
      <c r="J31" s="121"/>
      <c r="K31" s="122"/>
    </row>
    <row r="32" ht="13" customHeight="1">
      <c r="A32" s="120"/>
      <c r="B32" s="121"/>
      <c r="C32" s="121"/>
      <c r="D32" s="121"/>
      <c r="E32" s="121"/>
      <c r="F32" s="121"/>
      <c r="G32" s="121"/>
      <c r="H32" s="121"/>
      <c r="I32" s="121"/>
      <c r="J32" s="121"/>
      <c r="K32" s="122"/>
    </row>
    <row r="33" ht="13" customHeight="1">
      <c r="A33" s="120"/>
      <c r="B33" s="121"/>
      <c r="C33" s="121"/>
      <c r="D33" s="121"/>
      <c r="E33" s="121"/>
      <c r="F33" s="121"/>
      <c r="G33" s="121"/>
      <c r="H33" s="121"/>
      <c r="I33" s="121"/>
      <c r="J33" s="121"/>
      <c r="K33" s="122"/>
    </row>
    <row r="34" ht="13" customHeight="1">
      <c r="A34" s="120"/>
      <c r="B34" s="121"/>
      <c r="C34" s="121"/>
      <c r="D34" s="121"/>
      <c r="E34" s="121"/>
      <c r="F34" s="121"/>
      <c r="G34" s="121"/>
      <c r="H34" s="121"/>
      <c r="I34" s="121"/>
      <c r="J34" s="121"/>
      <c r="K34" s="122"/>
    </row>
    <row r="35" ht="13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2"/>
    </row>
    <row r="36" ht="13" customHeight="1">
      <c r="A36" s="120"/>
      <c r="B36" s="121"/>
      <c r="C36" s="121"/>
      <c r="D36" s="121"/>
      <c r="E36" s="121"/>
      <c r="F36" s="121"/>
      <c r="G36" s="121"/>
      <c r="H36" s="121"/>
      <c r="I36" s="121"/>
      <c r="J36" s="121"/>
      <c r="K36" s="122"/>
    </row>
    <row r="37" ht="13" customHeight="1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2"/>
    </row>
    <row r="38" ht="13" customHeight="1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2"/>
    </row>
    <row r="39" ht="13" customHeight="1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2"/>
    </row>
    <row r="40" ht="13" customHeight="1">
      <c r="A40" s="120"/>
      <c r="B40" s="121"/>
      <c r="C40" s="121"/>
      <c r="D40" s="121"/>
      <c r="E40" s="121"/>
      <c r="F40" s="121"/>
      <c r="G40" s="121"/>
      <c r="H40" s="121"/>
      <c r="I40" s="121"/>
      <c r="J40" s="121"/>
      <c r="K40" s="122"/>
    </row>
    <row r="41" ht="13" customHeight="1">
      <c r="A41" s="120"/>
      <c r="B41" s="121"/>
      <c r="C41" s="121"/>
      <c r="D41" s="121"/>
      <c r="E41" s="121"/>
      <c r="F41" s="121"/>
      <c r="G41" s="121"/>
      <c r="H41" s="121"/>
      <c r="I41" s="121"/>
      <c r="J41" s="121"/>
      <c r="K41" s="122"/>
    </row>
    <row r="42" ht="13" customHeight="1">
      <c r="A42" s="120"/>
      <c r="B42" s="121"/>
      <c r="C42" s="121"/>
      <c r="D42" s="121"/>
      <c r="E42" s="121"/>
      <c r="F42" s="121"/>
      <c r="G42" s="121"/>
      <c r="H42" s="121"/>
      <c r="I42" s="121"/>
      <c r="J42" s="121"/>
      <c r="K42" s="122"/>
    </row>
    <row r="43" ht="13" customHeight="1">
      <c r="A43" s="120"/>
      <c r="B43" s="121"/>
      <c r="C43" s="121"/>
      <c r="D43" s="121"/>
      <c r="E43" s="121"/>
      <c r="F43" s="121"/>
      <c r="G43" s="121"/>
      <c r="H43" s="121"/>
      <c r="I43" s="121"/>
      <c r="J43" s="121"/>
      <c r="K43" s="122"/>
    </row>
    <row r="44" ht="13" customHeight="1">
      <c r="A44" s="120"/>
      <c r="B44" s="121"/>
      <c r="C44" s="121"/>
      <c r="D44" s="121"/>
      <c r="E44" s="121"/>
      <c r="F44" s="121"/>
      <c r="G44" s="121"/>
      <c r="H44" s="121"/>
      <c r="I44" s="121"/>
      <c r="J44" s="121"/>
      <c r="K44" s="122"/>
    </row>
    <row r="45" ht="13" customHeight="1">
      <c r="A45" s="120"/>
      <c r="B45" s="121"/>
      <c r="C45" s="121"/>
      <c r="D45" s="121"/>
      <c r="E45" s="121"/>
      <c r="F45" s="121"/>
      <c r="G45" s="121"/>
      <c r="H45" s="121"/>
      <c r="I45" s="121"/>
      <c r="J45" s="121"/>
      <c r="K45" s="122"/>
    </row>
    <row r="46" ht="13" customHeight="1">
      <c r="A46" s="120"/>
      <c r="B46" s="121"/>
      <c r="C46" s="121"/>
      <c r="D46" s="121"/>
      <c r="E46" s="121"/>
      <c r="F46" s="121"/>
      <c r="G46" s="121"/>
      <c r="H46" s="121"/>
      <c r="I46" s="121"/>
      <c r="J46" s="121"/>
      <c r="K46" s="122"/>
    </row>
    <row r="47" ht="13" customHeight="1">
      <c r="A47" s="120"/>
      <c r="B47" s="121"/>
      <c r="C47" s="121"/>
      <c r="D47" s="121"/>
      <c r="E47" s="121"/>
      <c r="F47" s="121"/>
      <c r="G47" s="121"/>
      <c r="H47" s="121"/>
      <c r="I47" s="121"/>
      <c r="J47" s="121"/>
      <c r="K47" s="122"/>
    </row>
    <row r="48" ht="13" customHeight="1">
      <c r="A48" s="120"/>
      <c r="B48" s="121"/>
      <c r="C48" s="121"/>
      <c r="D48" s="121"/>
      <c r="E48" s="121"/>
      <c r="F48" s="121"/>
      <c r="G48" s="121"/>
      <c r="H48" s="121"/>
      <c r="I48" s="121"/>
      <c r="J48" s="121"/>
      <c r="K48" s="122"/>
    </row>
    <row r="49" ht="13" customHeight="1">
      <c r="A49" s="120"/>
      <c r="B49" s="121"/>
      <c r="C49" s="121"/>
      <c r="D49" s="121"/>
      <c r="E49" s="121"/>
      <c r="F49" s="121"/>
      <c r="G49" s="121"/>
      <c r="H49" s="121"/>
      <c r="I49" s="121"/>
      <c r="J49" s="121"/>
      <c r="K49" s="122"/>
    </row>
    <row r="50" ht="13" customHeight="1">
      <c r="A50" s="120"/>
      <c r="B50" s="121"/>
      <c r="C50" s="121"/>
      <c r="D50" s="121"/>
      <c r="E50" s="121"/>
      <c r="F50" s="121"/>
      <c r="G50" s="121"/>
      <c r="H50" s="121"/>
      <c r="I50" s="121"/>
      <c r="J50" s="121"/>
      <c r="K50" s="122"/>
    </row>
    <row r="51" ht="13" customHeight="1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2"/>
    </row>
    <row r="52" ht="13" customHeight="1">
      <c r="A52" s="120"/>
      <c r="B52" s="121"/>
      <c r="C52" s="121"/>
      <c r="D52" s="121"/>
      <c r="E52" s="121"/>
      <c r="F52" s="121"/>
      <c r="G52" s="121"/>
      <c r="H52" s="121"/>
      <c r="I52" s="121"/>
      <c r="J52" s="121"/>
      <c r="K52" s="122"/>
    </row>
    <row r="53" ht="13" customHeight="1">
      <c r="A53" s="120"/>
      <c r="B53" s="121"/>
      <c r="C53" s="121"/>
      <c r="D53" s="121"/>
      <c r="E53" s="121"/>
      <c r="F53" s="121"/>
      <c r="G53" s="121"/>
      <c r="H53" s="121"/>
      <c r="I53" s="121"/>
      <c r="J53" s="121"/>
      <c r="K53" s="122"/>
    </row>
    <row r="54" ht="13" customHeight="1">
      <c r="A54" s="120"/>
      <c r="B54" s="121"/>
      <c r="C54" s="121"/>
      <c r="D54" s="121"/>
      <c r="E54" s="121"/>
      <c r="F54" s="121"/>
      <c r="G54" s="121"/>
      <c r="H54" s="121"/>
      <c r="I54" s="121"/>
      <c r="J54" s="121"/>
      <c r="K54" s="122"/>
    </row>
    <row r="55" ht="13" customHeight="1">
      <c r="A55" s="120"/>
      <c r="B55" s="121"/>
      <c r="C55" s="121"/>
      <c r="D55" s="121"/>
      <c r="E55" s="121"/>
      <c r="F55" s="121"/>
      <c r="G55" s="121"/>
      <c r="H55" s="121"/>
      <c r="I55" s="121"/>
      <c r="J55" s="121"/>
      <c r="K55" s="122"/>
    </row>
    <row r="56" ht="13" customHeight="1">
      <c r="A56" s="120"/>
      <c r="B56" s="121"/>
      <c r="C56" s="121"/>
      <c r="D56" s="121"/>
      <c r="E56" s="121"/>
      <c r="F56" s="121"/>
      <c r="G56" s="121"/>
      <c r="H56" s="121"/>
      <c r="I56" s="121"/>
      <c r="J56" s="121"/>
      <c r="K56" s="122"/>
    </row>
    <row r="57" ht="13" customHeight="1">
      <c r="A57" s="120"/>
      <c r="B57" s="121"/>
      <c r="C57" s="121"/>
      <c r="D57" s="121"/>
      <c r="E57" s="121"/>
      <c r="F57" s="121"/>
      <c r="G57" s="121"/>
      <c r="H57" s="121"/>
      <c r="I57" s="121"/>
      <c r="J57" s="121"/>
      <c r="K57" s="122"/>
    </row>
    <row r="58" ht="13" customHeight="1">
      <c r="A58" s="120"/>
      <c r="B58" s="121"/>
      <c r="C58" s="121"/>
      <c r="D58" s="121"/>
      <c r="E58" s="121"/>
      <c r="F58" s="121"/>
      <c r="G58" s="121"/>
      <c r="H58" s="121"/>
      <c r="I58" s="121"/>
      <c r="J58" s="121"/>
      <c r="K58" s="122"/>
    </row>
    <row r="59" ht="13" customHeight="1">
      <c r="A59" s="120"/>
      <c r="B59" s="121"/>
      <c r="C59" s="121"/>
      <c r="D59" s="121"/>
      <c r="E59" s="121"/>
      <c r="F59" s="121"/>
      <c r="G59" s="121"/>
      <c r="H59" s="121"/>
      <c r="I59" s="121"/>
      <c r="J59" s="121"/>
      <c r="K59" s="122"/>
    </row>
    <row r="60" ht="13" customHeight="1">
      <c r="A60" s="120"/>
      <c r="B60" s="121"/>
      <c r="C60" s="121"/>
      <c r="D60" s="121"/>
      <c r="E60" s="121"/>
      <c r="F60" s="121"/>
      <c r="G60" s="121"/>
      <c r="H60" s="121"/>
      <c r="I60" s="121"/>
      <c r="J60" s="121"/>
      <c r="K60" s="122"/>
    </row>
    <row r="61" ht="13" customHeight="1">
      <c r="A61" s="120"/>
      <c r="B61" s="121"/>
      <c r="C61" s="121"/>
      <c r="D61" s="121"/>
      <c r="E61" s="121"/>
      <c r="F61" s="121"/>
      <c r="G61" s="121"/>
      <c r="H61" s="121"/>
      <c r="I61" s="121"/>
      <c r="J61" s="121"/>
      <c r="K61" s="122"/>
    </row>
    <row r="62" ht="13" customHeight="1">
      <c r="A62" s="123"/>
      <c r="B62" s="124"/>
      <c r="C62" s="124"/>
      <c r="D62" s="124"/>
      <c r="E62" s="124"/>
      <c r="F62" s="124"/>
      <c r="G62" s="124"/>
      <c r="H62" s="124"/>
      <c r="I62" s="124"/>
      <c r="J62" s="124"/>
      <c r="K62" s="1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9"/>
  <sheetViews>
    <sheetView workbookViewId="0" showGridLines="0" defaultGridColor="1"/>
  </sheetViews>
  <sheetFormatPr defaultColWidth="13.3333" defaultRowHeight="17.4" customHeight="1" outlineLevelRow="0" outlineLevelCol="0"/>
  <cols>
    <col min="1" max="3" width="13.3516" style="126" customWidth="1"/>
    <col min="4" max="16384" width="13.3516" style="126" customWidth="1"/>
  </cols>
  <sheetData>
    <row r="1" ht="12.35" customHeight="1">
      <c r="A1" t="s" s="59">
        <v>472</v>
      </c>
      <c r="B1" s="59"/>
      <c r="C1" s="59"/>
    </row>
    <row r="2" ht="17.4" customHeight="1">
      <c r="A2" t="s">
        <v>12</v>
      </c>
      <c r="B2" t="s">
        <v>487</v>
      </c>
    </row>
    <row r="4" ht="15.3" customHeight="1"/>
    <row r="5" ht="15.3" customHeight="1">
      <c r="A5" t="s" s="60">
        <v>8</v>
      </c>
      <c r="B5" t="s" s="61">
        <v>461</v>
      </c>
      <c r="C5" t="s" s="62">
        <v>461</v>
      </c>
    </row>
    <row r="6" ht="15.3" customHeight="1">
      <c r="A6" t="s" s="63">
        <v>16</v>
      </c>
      <c r="B6" s="64">
        <v>2804.66</v>
      </c>
      <c r="C6" s="127">
        <v>0.153499081356713</v>
      </c>
    </row>
    <row r="7" ht="15.05" customHeight="1">
      <c r="A7" t="s" s="66">
        <v>34</v>
      </c>
      <c r="B7" s="67">
        <v>4161.05</v>
      </c>
      <c r="C7" s="128">
        <v>0.227734325187136</v>
      </c>
    </row>
    <row r="8" ht="15.05" customHeight="1">
      <c r="A8" t="s" s="66">
        <v>21</v>
      </c>
      <c r="B8" s="67">
        <v>1840.06</v>
      </c>
      <c r="C8" s="128">
        <v>0.100706509752068</v>
      </c>
    </row>
    <row r="9" ht="15.05" customHeight="1">
      <c r="A9" t="s" s="66">
        <v>30</v>
      </c>
      <c r="B9" s="67">
        <v>2698.17</v>
      </c>
      <c r="C9" s="128">
        <v>0.147670882154786</v>
      </c>
    </row>
    <row r="10" ht="15.3" customHeight="1">
      <c r="A10" t="s" s="69">
        <v>26</v>
      </c>
      <c r="B10" s="70">
        <v>6767.57</v>
      </c>
      <c r="C10" s="129">
        <v>0.370389201549297</v>
      </c>
    </row>
    <row r="11" ht="15.3" customHeight="1">
      <c r="A11" t="s" s="72">
        <v>464</v>
      </c>
      <c r="B11" s="73">
        <v>18271.51</v>
      </c>
      <c r="C11" s="130">
        <v>1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4"/>
  <sheetViews>
    <sheetView workbookViewId="0" showGridLines="0" defaultGridColor="1"/>
  </sheetViews>
  <sheetFormatPr defaultColWidth="13.3333" defaultRowHeight="15.4" customHeight="1" outlineLevelRow="0" outlineLevelCol="0"/>
  <cols>
    <col min="1" max="1" width="18.5" style="131" customWidth="1"/>
    <col min="2" max="3" width="35.5" style="131" customWidth="1"/>
    <col min="4" max="16384" width="13.3516" style="131" customWidth="1"/>
  </cols>
  <sheetData>
    <row r="1" ht="8" customHeight="1" hidden="1">
      <c r="A1" s="92"/>
      <c r="B1" s="56"/>
      <c r="C1" s="57"/>
    </row>
    <row r="2" ht="15.55" customHeight="1">
      <c r="A2" t="s" s="93">
        <v>472</v>
      </c>
      <c r="B2" s="97"/>
      <c r="C2" s="132"/>
    </row>
    <row r="3" ht="15.4" customHeight="1">
      <c r="A3" s="92"/>
      <c r="B3" s="57"/>
      <c r="C3" s="133"/>
    </row>
    <row r="4" ht="15.4" customHeight="1">
      <c r="A4" s="92"/>
      <c r="B4" s="56"/>
      <c r="C4" s="89"/>
    </row>
    <row r="5" ht="25.25" customHeight="1">
      <c r="A5" s="84"/>
      <c r="B5" s="98"/>
      <c r="C5" s="85"/>
    </row>
    <row r="6" ht="25.25" customHeight="1">
      <c r="A6" s="86"/>
      <c r="B6" s="99"/>
      <c r="C6" s="87"/>
    </row>
    <row r="7" ht="18.5" customHeight="1">
      <c r="A7" s="86"/>
      <c r="B7" s="99"/>
      <c r="C7" s="87"/>
    </row>
    <row r="8" ht="18.5" customHeight="1">
      <c r="A8" s="86"/>
      <c r="B8" s="99"/>
      <c r="C8" s="87"/>
    </row>
    <row r="9" ht="18.5" customHeight="1">
      <c r="A9" s="86"/>
      <c r="B9" s="99"/>
      <c r="C9" s="87"/>
    </row>
    <row r="10" ht="18.5" customHeight="1">
      <c r="A10" s="86"/>
      <c r="B10" s="99"/>
      <c r="C10" s="87"/>
    </row>
    <row r="11" ht="18.5" customHeight="1">
      <c r="A11" s="86"/>
      <c r="B11" s="99"/>
      <c r="C11" s="87"/>
    </row>
    <row r="12" ht="13.8" customHeight="1">
      <c r="A12" s="88"/>
      <c r="B12" s="100"/>
      <c r="C12" s="89"/>
    </row>
    <row r="13" ht="15.4" customHeight="1">
      <c r="A13" s="84"/>
      <c r="B13" s="98"/>
      <c r="C13" s="85"/>
    </row>
    <row r="14" ht="15.4" customHeight="1">
      <c r="A14" s="88"/>
      <c r="B14" s="100"/>
      <c r="C14" s="89"/>
    </row>
  </sheetData>
  <mergeCells count="1">
    <mergeCell ref="A2:C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6"/>
  <sheetViews>
    <sheetView workbookViewId="0" showGridLines="0" defaultGridColor="1"/>
  </sheetViews>
  <sheetFormatPr defaultColWidth="13.3333" defaultRowHeight="17.4" customHeight="1" outlineLevelRow="0" outlineLevelCol="0"/>
  <cols>
    <col min="1" max="2" width="13.3516" style="134" customWidth="1"/>
    <col min="3" max="16384" width="13.3516" style="134" customWidth="1"/>
  </cols>
  <sheetData>
    <row r="1" ht="12.35" customHeight="1">
      <c r="A1" t="s" s="59">
        <v>472</v>
      </c>
      <c r="B1" s="59"/>
    </row>
    <row r="2" ht="17.4" customHeight="1">
      <c r="A2" t="s">
        <v>12</v>
      </c>
      <c r="B2" t="s">
        <v>487</v>
      </c>
    </row>
    <row r="4" ht="15.3" customHeight="1">
      <c r="A4" t="s" s="60">
        <v>467</v>
      </c>
      <c r="B4" t="s" s="61">
        <v>461</v>
      </c>
    </row>
    <row r="5" ht="15.3" customHeight="1">
      <c r="A5" s="76">
        <v>43831</v>
      </c>
      <c r="B5" s="64">
        <v>1416.06</v>
      </c>
    </row>
    <row r="6" ht="15.05" customHeight="1">
      <c r="A6" s="78">
        <v>43862</v>
      </c>
      <c r="B6" s="67">
        <v>2842.72</v>
      </c>
    </row>
    <row r="7" ht="15.05" customHeight="1">
      <c r="A7" s="78">
        <v>43891</v>
      </c>
      <c r="B7" s="67">
        <v>4140.88</v>
      </c>
    </row>
    <row r="8" ht="15.05" customHeight="1">
      <c r="A8" s="78">
        <v>43922</v>
      </c>
      <c r="B8" s="67">
        <v>4937.53</v>
      </c>
    </row>
    <row r="9" ht="15.05" customHeight="1">
      <c r="A9" s="78">
        <v>43952</v>
      </c>
      <c r="B9" s="67">
        <v>6701.18</v>
      </c>
    </row>
    <row r="10" ht="15.05" customHeight="1">
      <c r="A10" s="78">
        <v>43983</v>
      </c>
      <c r="B10" s="67">
        <v>8231.07</v>
      </c>
    </row>
    <row r="11" ht="15.05" customHeight="1">
      <c r="A11" s="78">
        <v>44013</v>
      </c>
      <c r="B11" s="67">
        <v>10283.52</v>
      </c>
    </row>
    <row r="12" ht="15.05" customHeight="1">
      <c r="A12" s="78">
        <v>44044</v>
      </c>
      <c r="B12" s="67">
        <v>10904.08</v>
      </c>
    </row>
    <row r="13" ht="15.05" customHeight="1">
      <c r="A13" s="78">
        <v>44075</v>
      </c>
      <c r="B13" s="67">
        <v>12149.5</v>
      </c>
    </row>
    <row r="14" ht="15.05" customHeight="1">
      <c r="A14" s="78">
        <v>44105</v>
      </c>
      <c r="B14" s="67">
        <v>14077.43</v>
      </c>
    </row>
    <row r="15" ht="15.05" customHeight="1">
      <c r="A15" s="78">
        <v>44136</v>
      </c>
      <c r="B15" s="67">
        <v>16571.73</v>
      </c>
    </row>
    <row r="16" ht="15.3" customHeight="1">
      <c r="A16" s="80">
        <v>44166</v>
      </c>
      <c r="B16" s="70">
        <v>18271.51</v>
      </c>
    </row>
    <row r="17" ht="15.3" customHeight="1">
      <c r="A17" t="s" s="72">
        <v>464</v>
      </c>
      <c r="B17" s="73">
        <v>18271.51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20"/>
  <sheetViews>
    <sheetView workbookViewId="0" showGridLines="0" defaultGridColor="1"/>
  </sheetViews>
  <sheetFormatPr defaultColWidth="13.3333" defaultRowHeight="15.4" customHeight="1" outlineLevelRow="0" outlineLevelCol="0"/>
  <cols>
    <col min="1" max="2" width="61.1719" style="135" customWidth="1"/>
    <col min="3" max="16384" width="13.3516" style="135" customWidth="1"/>
  </cols>
  <sheetData>
    <row r="1" ht="8" customHeight="1" hidden="1">
      <c r="A1" s="92"/>
      <c r="B1" s="57"/>
    </row>
    <row r="2" ht="15.55" customHeight="1">
      <c r="A2" t="s" s="93">
        <v>472</v>
      </c>
      <c r="B2" s="94"/>
    </row>
    <row r="3" ht="15.4" customHeight="1">
      <c r="A3" s="92"/>
      <c r="B3" s="57"/>
    </row>
    <row r="4" ht="15.4" customHeight="1">
      <c r="A4" s="92"/>
      <c r="B4" s="57"/>
    </row>
    <row r="5" ht="34.5" customHeight="1">
      <c r="A5" s="84"/>
      <c r="B5" s="85"/>
    </row>
    <row r="6" ht="13.75" customHeight="1">
      <c r="A6" s="86"/>
      <c r="B6" s="87"/>
    </row>
    <row r="7" ht="13.75" customHeight="1">
      <c r="A7" s="86"/>
      <c r="B7" s="87"/>
    </row>
    <row r="8" ht="13.75" customHeight="1">
      <c r="A8" s="86"/>
      <c r="B8" s="87"/>
    </row>
    <row r="9" ht="13.75" customHeight="1">
      <c r="A9" s="86"/>
      <c r="B9" s="87"/>
    </row>
    <row r="10" ht="13.75" customHeight="1">
      <c r="A10" s="86"/>
      <c r="B10" s="87"/>
    </row>
    <row r="11" ht="13.75" customHeight="1">
      <c r="A11" s="86"/>
      <c r="B11" s="87"/>
    </row>
    <row r="12" ht="13.75" customHeight="1">
      <c r="A12" s="86"/>
      <c r="B12" s="87"/>
    </row>
    <row r="13" ht="13.75" customHeight="1">
      <c r="A13" s="86"/>
      <c r="B13" s="87"/>
    </row>
    <row r="14" ht="13.75" customHeight="1">
      <c r="A14" s="86"/>
      <c r="B14" s="87"/>
    </row>
    <row r="15" ht="13.75" customHeight="1">
      <c r="A15" s="86"/>
      <c r="B15" s="87"/>
    </row>
    <row r="16" ht="13.75" customHeight="1">
      <c r="A16" s="86"/>
      <c r="B16" s="87"/>
    </row>
    <row r="17" ht="13.75" customHeight="1">
      <c r="A17" s="86"/>
      <c r="B17" s="87"/>
    </row>
    <row r="18" ht="13.75" customHeight="1">
      <c r="A18" s="88"/>
      <c r="B18" s="89"/>
    </row>
    <row r="19" ht="15.4" customHeight="1">
      <c r="A19" s="84"/>
      <c r="B19" s="85"/>
    </row>
    <row r="20" ht="15.4" customHeight="1">
      <c r="A20" s="88"/>
      <c r="B20" s="89"/>
    </row>
  </sheetData>
  <mergeCells count="1">
    <mergeCell ref="A2:B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9"/>
  <sheetViews>
    <sheetView workbookViewId="0" showGridLines="0" defaultGridColor="1"/>
  </sheetViews>
  <sheetFormatPr defaultColWidth="13.3333" defaultRowHeight="17.4" customHeight="1" outlineLevelRow="0" outlineLevelCol="0"/>
  <cols>
    <col min="1" max="2" width="13.3516" style="136" customWidth="1"/>
    <col min="3" max="16384" width="13.3516" style="136" customWidth="1"/>
  </cols>
  <sheetData>
    <row r="1" ht="12.35" customHeight="1">
      <c r="A1" t="s" s="59">
        <v>472</v>
      </c>
      <c r="B1" s="59"/>
    </row>
    <row r="2" ht="17.4" customHeight="1">
      <c r="A2" t="s">
        <v>7</v>
      </c>
      <c r="B2" t="s">
        <v>487</v>
      </c>
    </row>
    <row r="3" ht="17.4" customHeight="1">
      <c r="A3" t="s">
        <v>12</v>
      </c>
      <c r="B3" t="s">
        <v>487</v>
      </c>
    </row>
    <row r="5" ht="15.3" customHeight="1">
      <c r="A5" t="s" s="60">
        <v>8</v>
      </c>
      <c r="B5" t="s" s="61">
        <v>461</v>
      </c>
    </row>
    <row r="6" ht="15.3" customHeight="1">
      <c r="A6" t="s" s="63">
        <v>30</v>
      </c>
      <c r="B6" s="64">
        <v>2624.54</v>
      </c>
    </row>
    <row r="7" ht="15.3" customHeight="1">
      <c r="A7" t="s" s="69">
        <v>26</v>
      </c>
      <c r="B7" s="70">
        <v>6670.67</v>
      </c>
    </row>
    <row r="8" ht="15.3" customHeight="1">
      <c r="A8" t="s" s="72">
        <v>464</v>
      </c>
      <c r="B8" s="73">
        <v>9295.209999999999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5"/>
  <sheetViews>
    <sheetView workbookViewId="0" showGridLines="0" defaultGridColor="1"/>
  </sheetViews>
  <sheetFormatPr defaultColWidth="13.3333" defaultRowHeight="15.4" customHeight="1" outlineLevelRow="0" outlineLevelCol="0"/>
  <cols>
    <col min="1" max="2" width="74" style="137" customWidth="1"/>
    <col min="3" max="16384" width="13.3516" style="137" customWidth="1"/>
  </cols>
  <sheetData>
    <row r="1" ht="8" customHeight="1" hidden="1">
      <c r="A1" s="92"/>
      <c r="B1" s="57"/>
    </row>
    <row r="2" ht="15.55" customHeight="1">
      <c r="A2" t="s" s="93">
        <v>472</v>
      </c>
      <c r="B2" s="94"/>
    </row>
    <row r="3" ht="15.4" customHeight="1">
      <c r="A3" s="84"/>
      <c r="B3" s="85"/>
    </row>
    <row r="4" ht="15.4" customHeight="1">
      <c r="A4" s="88"/>
      <c r="B4" s="89"/>
    </row>
    <row r="5" ht="15.4" customHeight="1">
      <c r="A5" s="92"/>
      <c r="B5" s="57"/>
    </row>
    <row r="6" ht="18.5" customHeight="1">
      <c r="A6" s="84"/>
      <c r="B6" s="85"/>
    </row>
    <row r="7" ht="15.15" customHeight="1">
      <c r="A7" s="86"/>
      <c r="B7" s="87"/>
    </row>
    <row r="8" ht="18.5" customHeight="1">
      <c r="A8" s="86"/>
      <c r="B8" s="87"/>
    </row>
    <row r="9" ht="18.5" customHeight="1">
      <c r="A9" s="88"/>
      <c r="B9" s="89"/>
    </row>
    <row r="10" ht="15.4" customHeight="1">
      <c r="A10" s="84"/>
      <c r="B10" s="85"/>
    </row>
    <row r="11" ht="15.4" customHeight="1">
      <c r="A11" s="86"/>
      <c r="B11" s="87"/>
    </row>
    <row r="12" ht="15.4" customHeight="1">
      <c r="A12" s="86"/>
      <c r="B12" s="87"/>
    </row>
    <row r="13" ht="15.4" customHeight="1">
      <c r="A13" s="86"/>
      <c r="B13" s="87"/>
    </row>
    <row r="14" ht="15.4" customHeight="1">
      <c r="A14" s="86"/>
      <c r="B14" s="87"/>
    </row>
    <row r="15" ht="15.4" customHeight="1">
      <c r="A15" s="88"/>
      <c r="B15" s="89"/>
    </row>
  </sheetData>
  <mergeCells count="1">
    <mergeCell ref="A2:B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